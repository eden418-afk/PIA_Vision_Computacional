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experimentales" sheetId="1" state="visible" r:id="rId1"/>
    <sheet name="Resumen estadístico" sheetId="2" state="visible" r:id="rId2"/>
    <sheet name="Discriminación geométrica" sheetId="3" state="visible" r:id="rId3"/>
    <sheet name="Conteos clasificación" sheetId="4" state="visible" r:id="rId4"/>
    <sheet name="Configuración" sheetId="5" state="visible" r:id="rId5"/>
  </sheets>
  <definedNames>
    <definedName name="_xlnm._FilterDatabase" localSheetId="0" hidden="1">'Datos experimentales'!$A$1:$AG$21</definedName>
    <definedName name="_xlnm._FilterDatabase" localSheetId="1" hidden="1">'Resumen estadístico'!$A$1:$B$11</definedName>
    <definedName name="_xlnm._FilterDatabase" localSheetId="2" hidden="1">'Discriminación geométrica'!$A$1:$K$21</definedName>
    <definedName name="_xlnm._FilterDatabase" localSheetId="3" hidden="1">'Conteos clasificación'!$A$1:$C$31</definedName>
    <definedName name="_xlnm._FilterDatabase" localSheetId="4" hidden="1">'Configuración'!$A$1:$C$12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Error de centroide CAD vs Python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experimentales'!N1</f>
            </strRef>
          </tx>
          <spPr>
            <a:ln>
              <a:prstDash val="solid"/>
            </a:ln>
          </spPr>
          <cat>
            <numRef>
              <f>'Datos experimentales'!$A$2:$A$21</f>
            </numRef>
          </cat>
          <val>
            <numRef>
              <f>'Datos experimentales'!$N$2:$N$21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Imagen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Error angular CAD vs Python</a:t>
            </a:r>
          </a:p>
        </rich>
      </tx>
    </title>
    <plotArea>
      <lineChart>
        <grouping val="standard"/>
        <ser>
          <idx val="0"/>
          <order val="0"/>
          <tx>
            <strRef>
              <f>'Datos experimentales'!F1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'Datos experimentales'!$A$2:$A$21</f>
            </numRef>
          </cat>
          <val>
            <numRef>
              <f>'Datos experimentales'!$F$2:$F$21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Imagen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(grados)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Conteo de figuras clasificadas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'Conteos clasificación'!C1</f>
            </strRef>
          </tx>
          <spPr>
            <a:ln>
              <a:prstDash val="solid"/>
            </a:ln>
          </spPr>
          <cat>
            <numRef>
              <f>'Conteos clasificación'!$B$2:$B$31</f>
            </numRef>
          </cat>
          <val>
            <numRef>
              <f>'Conteos clasificación'!$C$2:$C$31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29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29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9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3" customWidth="1" min="12" max="12"/>
    <col width="23" customWidth="1" min="13" max="13"/>
    <col width="20" customWidth="1" min="14" max="14"/>
    <col width="12" customWidth="1" min="15" max="15"/>
    <col width="12" customWidth="1" min="16" max="16"/>
    <col width="12" customWidth="1" min="17" max="17"/>
    <col width="15" customWidth="1" min="18" max="18"/>
    <col width="13" customWidth="1" min="19" max="19"/>
    <col width="13" customWidth="1" min="20" max="20"/>
    <col width="10" customWidth="1" min="21" max="21"/>
    <col width="8" customWidth="1" min="22" max="22"/>
    <col width="8" customWidth="1" min="23" max="23"/>
    <col width="8" customWidth="1" min="24" max="24"/>
    <col width="8" customWidth="1" min="25" max="25"/>
    <col width="32" customWidth="1" min="26" max="26"/>
    <col width="14" customWidth="1" min="27" max="27"/>
    <col width="14" customWidth="1" min="28" max="28"/>
    <col width="8" customWidth="1" min="29" max="29"/>
    <col width="10" customWidth="1" min="30" max="30"/>
    <col width="13" customWidth="1" min="31" max="31"/>
    <col width="16" customWidth="1" min="32" max="32"/>
    <col width="17" customWidth="1" min="33" max="33"/>
  </cols>
  <sheetData>
    <row r="1">
      <c r="A1" s="1" t="inlineStr">
        <is>
          <t>imagen</t>
        </is>
      </c>
      <c r="B1" s="1" t="inlineStr">
        <is>
          <t>modelo_cad</t>
        </is>
      </c>
      <c r="C1" s="1" t="inlineStr">
        <is>
          <t>figura</t>
        </is>
      </c>
      <c r="D1" s="1" t="inlineStr">
        <is>
          <t>angulo_cad_grados</t>
        </is>
      </c>
      <c r="E1" s="1" t="inlineStr">
        <is>
          <t>angulo_python_grados</t>
        </is>
      </c>
      <c r="F1" s="1" t="inlineStr">
        <is>
          <t>error_angular_grados</t>
        </is>
      </c>
      <c r="G1" s="1" t="inlineStr">
        <is>
          <t>centroide_cad_mm_x</t>
        </is>
      </c>
      <c r="H1" s="1" t="inlineStr">
        <is>
          <t>centroide_cad_mm_y</t>
        </is>
      </c>
      <c r="I1" s="1" t="inlineStr">
        <is>
          <t>centroide_cad_mm_z</t>
        </is>
      </c>
      <c r="J1" s="1" t="inlineStr">
        <is>
          <t>centroide_python_px_x</t>
        </is>
      </c>
      <c r="K1" s="1" t="inlineStr">
        <is>
          <t>centroide_python_px_y</t>
        </is>
      </c>
      <c r="L1" s="1" t="inlineStr">
        <is>
          <t>centroide_python_mm_x</t>
        </is>
      </c>
      <c r="M1" s="1" t="inlineStr">
        <is>
          <t>centroide_python_mm_y</t>
        </is>
      </c>
      <c r="N1" s="1" t="inlineStr">
        <is>
          <t>error_centroide_mm</t>
        </is>
      </c>
      <c r="O1" s="1" t="inlineStr">
        <is>
          <t>robot_x_mm</t>
        </is>
      </c>
      <c r="P1" s="1" t="inlineStr">
        <is>
          <t>robot_y_mm</t>
        </is>
      </c>
      <c r="Q1" s="1" t="inlineStr">
        <is>
          <t>robot_z_mm</t>
        </is>
      </c>
      <c r="R1" s="1" t="inlineStr">
        <is>
          <t>tcp_theta_deg</t>
        </is>
      </c>
      <c r="S1" s="1" t="inlineStr">
        <is>
          <t>tcp_phi_deg</t>
        </is>
      </c>
      <c r="T1" s="1" t="inlineStr">
        <is>
          <t>tcp_psi_deg</t>
        </is>
      </c>
      <c r="U1" s="1" t="inlineStr">
        <is>
          <t>area_px2</t>
        </is>
      </c>
      <c r="V1" s="1" t="inlineStr">
        <is>
          <t>bbox_x</t>
        </is>
      </c>
      <c r="W1" s="1" t="inlineStr">
        <is>
          <t>bbox_y</t>
        </is>
      </c>
      <c r="X1" s="1" t="inlineStr">
        <is>
          <t>bbox_w</t>
        </is>
      </c>
      <c r="Y1" s="1" t="inlineStr">
        <is>
          <t>bbox_h</t>
        </is>
      </c>
      <c r="Z1" s="1" t="inlineStr">
        <is>
          <t>figura_clasificada_python</t>
        </is>
      </c>
      <c r="AA1" s="1" t="inlineStr">
        <is>
          <t>perimetro_px</t>
        </is>
      </c>
      <c r="AB1" s="1" t="inlineStr">
        <is>
          <t>aspect_ratio</t>
        </is>
      </c>
      <c r="AC1" s="1" t="inlineStr">
        <is>
          <t>extent</t>
        </is>
      </c>
      <c r="AD1" s="1" t="inlineStr">
        <is>
          <t>solidity</t>
        </is>
      </c>
      <c r="AE1" s="1" t="inlineStr">
        <is>
          <t>circularity</t>
        </is>
      </c>
      <c r="AF1" s="1" t="inlineStr">
        <is>
          <t>vertices_aprox</t>
        </is>
      </c>
      <c r="AG1" s="1" t="inlineStr">
        <is>
          <t>numero_agujeros</t>
        </is>
      </c>
    </row>
    <row r="2">
      <c r="A2" s="2" t="inlineStr">
        <is>
          <t>pieza_01.png</t>
        </is>
      </c>
      <c r="B2" s="2" t="inlineStr">
        <is>
          <t>pieza_01.FCStd</t>
        </is>
      </c>
      <c r="C2" s="2" t="inlineStr">
        <is>
          <t>circulo_con_agujero_central</t>
        </is>
      </c>
      <c r="D2" s="2" t="n">
        <v>0</v>
      </c>
      <c r="E2" s="2" t="n">
        <v>90</v>
      </c>
      <c r="F2" s="2" t="n">
        <v>90</v>
      </c>
      <c r="G2" s="2" t="n">
        <v>0</v>
      </c>
      <c r="H2" s="2" t="n">
        <v>0</v>
      </c>
      <c r="I2" s="2" t="n">
        <v>1.5</v>
      </c>
      <c r="J2" s="2" t="n">
        <v>639</v>
      </c>
      <c r="K2" s="2" t="n">
        <v>360</v>
      </c>
      <c r="L2" s="2" t="n">
        <v>-0.25</v>
      </c>
      <c r="M2" s="2" t="n">
        <v>-0</v>
      </c>
      <c r="N2" s="2" t="n">
        <v>0.25</v>
      </c>
      <c r="O2" s="2" t="n">
        <v>199.7835</v>
      </c>
      <c r="P2" s="2" t="n">
        <v>-50</v>
      </c>
      <c r="Q2" s="2" t="n">
        <v>399.875</v>
      </c>
      <c r="R2" s="2" t="n">
        <v>0</v>
      </c>
      <c r="S2" s="2" t="n">
        <v>-30</v>
      </c>
      <c r="T2" s="2" t="n">
        <v>90</v>
      </c>
      <c r="U2" s="2" t="n">
        <v>108972</v>
      </c>
      <c r="V2" s="2" t="n">
        <v>448</v>
      </c>
      <c r="W2" s="2" t="n">
        <v>168</v>
      </c>
      <c r="X2" s="2" t="n">
        <v>385</v>
      </c>
      <c r="Y2" s="2" t="n">
        <v>385</v>
      </c>
      <c r="Z2" s="2" t="inlineStr">
        <is>
          <t>octagono_o_poligono_regular</t>
        </is>
      </c>
      <c r="AA2" s="2" t="n">
        <v>1273.5677</v>
      </c>
      <c r="AB2" s="2" t="n">
        <v>1</v>
      </c>
      <c r="AC2" s="2" t="n">
        <v>0.7352</v>
      </c>
      <c r="AD2" s="2" t="n">
        <v>0.9393</v>
      </c>
      <c r="AE2" s="2" t="n">
        <v>0.8443000000000001</v>
      </c>
      <c r="AF2" s="2" t="n">
        <v>8</v>
      </c>
      <c r="AG2" s="2" t="n">
        <v>1</v>
      </c>
    </row>
    <row r="3">
      <c r="A3" s="2" t="inlineStr">
        <is>
          <t>pieza_02.png</t>
        </is>
      </c>
      <c r="B3" s="2" t="inlineStr">
        <is>
          <t>pieza_02.FCStd</t>
        </is>
      </c>
      <c r="C3" s="2" t="inlineStr">
        <is>
          <t>triangulo_mecanico</t>
        </is>
      </c>
      <c r="D3" s="2" t="n">
        <v>18</v>
      </c>
      <c r="E3" s="2" t="n">
        <v>46.4481</v>
      </c>
      <c r="F3" s="2" t="n">
        <v>28.4481</v>
      </c>
      <c r="G3" s="2" t="n">
        <v>-22</v>
      </c>
      <c r="H3" s="2" t="n">
        <v>12</v>
      </c>
      <c r="I3" s="2" t="n">
        <v>1.5</v>
      </c>
      <c r="J3" s="2" t="n">
        <v>551</v>
      </c>
      <c r="K3" s="2" t="n">
        <v>311</v>
      </c>
      <c r="L3" s="2" t="n">
        <v>-22.25</v>
      </c>
      <c r="M3" s="2" t="n">
        <v>12.25</v>
      </c>
      <c r="N3" s="2" t="n">
        <v>0.3536</v>
      </c>
      <c r="O3" s="2" t="n">
        <v>180.7309</v>
      </c>
      <c r="P3" s="2" t="n">
        <v>-37.75</v>
      </c>
      <c r="Q3" s="2" t="n">
        <v>388.875</v>
      </c>
      <c r="R3" s="2" t="n">
        <v>0</v>
      </c>
      <c r="S3" s="2" t="n">
        <v>-30</v>
      </c>
      <c r="T3" s="2" t="n">
        <v>46.4481</v>
      </c>
      <c r="U3" s="2" t="n">
        <v>67236</v>
      </c>
      <c r="V3" s="2" t="n">
        <v>398</v>
      </c>
      <c r="W3" s="2" t="n">
        <v>93</v>
      </c>
      <c r="X3" s="2" t="n">
        <v>380</v>
      </c>
      <c r="Y3" s="2" t="n">
        <v>391</v>
      </c>
      <c r="Z3" s="2" t="inlineStr">
        <is>
          <t>triangulo</t>
        </is>
      </c>
      <c r="AA3" s="2" t="n">
        <v>1263.2662</v>
      </c>
      <c r="AB3" s="2" t="n">
        <v>0.9719</v>
      </c>
      <c r="AC3" s="2" t="n">
        <v>0.4525</v>
      </c>
      <c r="AD3" s="2" t="n">
        <v>0.9549</v>
      </c>
      <c r="AE3" s="2" t="n">
        <v>0.5294</v>
      </c>
      <c r="AF3" s="2" t="n">
        <v>3</v>
      </c>
      <c r="AG3" s="2" t="n">
        <v>1</v>
      </c>
    </row>
    <row r="4">
      <c r="A4" s="2" t="inlineStr">
        <is>
          <t>pieza_03.png</t>
        </is>
      </c>
      <c r="B4" s="2" t="inlineStr">
        <is>
          <t>pieza_03.FCStd</t>
        </is>
      </c>
      <c r="C4" s="2" t="inlineStr">
        <is>
          <t>hexagono_perforado</t>
        </is>
      </c>
      <c r="D4" s="2" t="n">
        <v>35</v>
      </c>
      <c r="E4" s="2" t="n">
        <v>19.5492</v>
      </c>
      <c r="F4" s="2" t="n">
        <v>15.4508</v>
      </c>
      <c r="G4" s="2" t="n">
        <v>18</v>
      </c>
      <c r="H4" s="2" t="n">
        <v>-8</v>
      </c>
      <c r="I4" s="2" t="n">
        <v>1.5</v>
      </c>
      <c r="J4" s="2" t="n">
        <v>711</v>
      </c>
      <c r="K4" s="2" t="n">
        <v>392</v>
      </c>
      <c r="L4" s="2" t="n">
        <v>17.75</v>
      </c>
      <c r="M4" s="2" t="n">
        <v>-8</v>
      </c>
      <c r="N4" s="2" t="n">
        <v>0.25</v>
      </c>
      <c r="O4" s="2" t="n">
        <v>215.372</v>
      </c>
      <c r="P4" s="2" t="n">
        <v>-58</v>
      </c>
      <c r="Q4" s="2" t="n">
        <v>408.875</v>
      </c>
      <c r="R4" s="2" t="n">
        <v>0</v>
      </c>
      <c r="S4" s="2" t="n">
        <v>-30</v>
      </c>
      <c r="T4" s="2" t="n">
        <v>19.5492</v>
      </c>
      <c r="U4" s="2" t="n">
        <v>121012</v>
      </c>
      <c r="V4" s="2" t="n">
        <v>494</v>
      </c>
      <c r="W4" s="2" t="n">
        <v>193</v>
      </c>
      <c r="X4" s="2" t="n">
        <v>437</v>
      </c>
      <c r="Y4" s="2" t="n">
        <v>399</v>
      </c>
      <c r="Z4" s="2" t="inlineStr">
        <is>
          <t>hexagono</t>
        </is>
      </c>
      <c r="AA4" s="2" t="n">
        <v>1391.5088</v>
      </c>
      <c r="AB4" s="2" t="n">
        <v>1.0952</v>
      </c>
      <c r="AC4" s="2" t="n">
        <v>0.694</v>
      </c>
      <c r="AD4" s="2" t="n">
        <v>0.9605</v>
      </c>
      <c r="AE4" s="2" t="n">
        <v>0.7854</v>
      </c>
      <c r="AF4" s="2" t="n">
        <v>6</v>
      </c>
      <c r="AG4" s="2" t="n">
        <v>1</v>
      </c>
    </row>
    <row r="5">
      <c r="A5" s="2" t="inlineStr">
        <is>
          <t>pieza_04.png</t>
        </is>
      </c>
      <c r="B5" s="2" t="inlineStr">
        <is>
          <t>pieza_04.FCStd</t>
        </is>
      </c>
      <c r="C5" s="2" t="inlineStr">
        <is>
          <t>octagono_brida</t>
        </is>
      </c>
      <c r="D5" s="2" t="n">
        <v>52</v>
      </c>
      <c r="E5" s="2" t="n">
        <v>0</v>
      </c>
      <c r="F5" s="2" t="n">
        <v>52</v>
      </c>
      <c r="G5" s="2" t="n">
        <v>-10</v>
      </c>
      <c r="H5" s="2" t="n">
        <v>-12</v>
      </c>
      <c r="I5" s="2" t="n">
        <v>1.5</v>
      </c>
      <c r="J5" s="2" t="n">
        <v>600</v>
      </c>
      <c r="K5" s="2" t="n">
        <v>408</v>
      </c>
      <c r="L5" s="2" t="n">
        <v>-10</v>
      </c>
      <c r="M5" s="2" t="n">
        <v>-12</v>
      </c>
      <c r="N5" s="2" t="n">
        <v>0</v>
      </c>
      <c r="O5" s="2" t="n">
        <v>191.3397</v>
      </c>
      <c r="P5" s="2" t="n">
        <v>-62</v>
      </c>
      <c r="Q5" s="2" t="n">
        <v>395</v>
      </c>
      <c r="R5" s="2" t="n">
        <v>0</v>
      </c>
      <c r="S5" s="2" t="n">
        <v>-30</v>
      </c>
      <c r="T5" s="2" t="n">
        <v>0</v>
      </c>
      <c r="U5" s="2" t="n">
        <v>151136</v>
      </c>
      <c r="V5" s="2" t="n">
        <v>369</v>
      </c>
      <c r="W5" s="2" t="n">
        <v>177</v>
      </c>
      <c r="X5" s="2" t="n">
        <v>463</v>
      </c>
      <c r="Y5" s="2" t="n">
        <v>463</v>
      </c>
      <c r="Z5" s="2" t="inlineStr">
        <is>
          <t>octagono_o_poligono_regular</t>
        </is>
      </c>
      <c r="AA5" s="2" t="n">
        <v>1531.6753</v>
      </c>
      <c r="AB5" s="2" t="n">
        <v>1</v>
      </c>
      <c r="AC5" s="2" t="n">
        <v>0.705</v>
      </c>
      <c r="AD5" s="2" t="n">
        <v>0.9253</v>
      </c>
      <c r="AE5" s="2" t="n">
        <v>0.8096</v>
      </c>
      <c r="AF5" s="2" t="n">
        <v>8</v>
      </c>
      <c r="AG5" s="2" t="n">
        <v>5</v>
      </c>
    </row>
    <row r="6">
      <c r="A6" s="2" t="inlineStr">
        <is>
          <t>pieza_05.png</t>
        </is>
      </c>
      <c r="B6" s="2" t="inlineStr">
        <is>
          <t>pieza_05.FCStd</t>
        </is>
      </c>
      <c r="C6" s="2" t="inlineStr">
        <is>
          <t>engrane_12_dientes</t>
        </is>
      </c>
      <c r="D6" s="2" t="n">
        <v>70</v>
      </c>
      <c r="E6" s="2" t="n">
        <v>87.4637</v>
      </c>
      <c r="F6" s="2" t="n">
        <v>17.4637</v>
      </c>
      <c r="G6" s="2" t="n">
        <v>22</v>
      </c>
      <c r="H6" s="2" t="n">
        <v>8</v>
      </c>
      <c r="I6" s="2" t="n">
        <v>1.5</v>
      </c>
      <c r="J6" s="2" t="n">
        <v>727</v>
      </c>
      <c r="K6" s="2" t="n">
        <v>328</v>
      </c>
      <c r="L6" s="2" t="n">
        <v>21.75</v>
      </c>
      <c r="M6" s="2" t="n">
        <v>8</v>
      </c>
      <c r="N6" s="2" t="n">
        <v>0.25</v>
      </c>
      <c r="O6" s="2" t="n">
        <v>218.8361</v>
      </c>
      <c r="P6" s="2" t="n">
        <v>-42</v>
      </c>
      <c r="Q6" s="2" t="n">
        <v>410.875</v>
      </c>
      <c r="R6" s="2" t="n">
        <v>0</v>
      </c>
      <c r="S6" s="2" t="n">
        <v>-30</v>
      </c>
      <c r="T6" s="2" t="n">
        <v>87.4637</v>
      </c>
      <c r="U6" s="2" t="n">
        <v>99486</v>
      </c>
      <c r="V6" s="2" t="n">
        <v>509</v>
      </c>
      <c r="W6" s="2" t="n">
        <v>109</v>
      </c>
      <c r="X6" s="2" t="n">
        <v>439</v>
      </c>
      <c r="Y6" s="2" t="n">
        <v>439</v>
      </c>
      <c r="Z6" s="2" t="inlineStr">
        <is>
          <t>engrane_o_pieza_dentada_perforada</t>
        </is>
      </c>
      <c r="AA6" s="2" t="n">
        <v>2159.0865</v>
      </c>
      <c r="AB6" s="2" t="n">
        <v>1</v>
      </c>
      <c r="AC6" s="2" t="n">
        <v>0.5162</v>
      </c>
      <c r="AD6" s="2" t="n">
        <v>0.67</v>
      </c>
      <c r="AE6" s="2" t="n">
        <v>0.2682</v>
      </c>
      <c r="AF6" s="2" t="n">
        <v>24</v>
      </c>
      <c r="AG6" s="2" t="n">
        <v>1</v>
      </c>
    </row>
    <row r="7">
      <c r="A7" s="2" t="inlineStr">
        <is>
          <t>pieza_06.png</t>
        </is>
      </c>
      <c r="B7" s="2" t="inlineStr">
        <is>
          <t>pieza_06.FCStd</t>
        </is>
      </c>
      <c r="C7" s="2" t="inlineStr">
        <is>
          <t>engrane_18_dientes</t>
        </is>
      </c>
      <c r="D7" s="2" t="n">
        <v>88</v>
      </c>
      <c r="E7" s="2" t="n">
        <v>-76.238</v>
      </c>
      <c r="F7" s="2" t="n">
        <v>15.762</v>
      </c>
      <c r="G7" s="2" t="n">
        <v>-20</v>
      </c>
      <c r="H7" s="2" t="n">
        <v>0</v>
      </c>
      <c r="I7" s="2" t="n">
        <v>1.5</v>
      </c>
      <c r="J7" s="2" t="n">
        <v>559</v>
      </c>
      <c r="K7" s="2" t="n">
        <v>359</v>
      </c>
      <c r="L7" s="2" t="n">
        <v>-20.25</v>
      </c>
      <c r="M7" s="2" t="n">
        <v>0.25</v>
      </c>
      <c r="N7" s="2" t="n">
        <v>0.3536</v>
      </c>
      <c r="O7" s="2" t="n">
        <v>182.463</v>
      </c>
      <c r="P7" s="2" t="n">
        <v>-49.75</v>
      </c>
      <c r="Q7" s="2" t="n">
        <v>389.875</v>
      </c>
      <c r="R7" s="2" t="n">
        <v>0</v>
      </c>
      <c r="S7" s="2" t="n">
        <v>-30</v>
      </c>
      <c r="T7" s="2" t="n">
        <v>-76.238</v>
      </c>
      <c r="U7" s="2" t="n">
        <v>103751</v>
      </c>
      <c r="V7" s="2" t="n">
        <v>333</v>
      </c>
      <c r="W7" s="2" t="n">
        <v>130</v>
      </c>
      <c r="X7" s="2" t="n">
        <v>455</v>
      </c>
      <c r="Y7" s="2" t="n">
        <v>461</v>
      </c>
      <c r="Z7" s="2" t="inlineStr">
        <is>
          <t>hexagono</t>
        </is>
      </c>
      <c r="AA7" s="2" t="n">
        <v>2922.0125</v>
      </c>
      <c r="AB7" s="2" t="n">
        <v>0.987</v>
      </c>
      <c r="AC7" s="2" t="n">
        <v>0.4946</v>
      </c>
      <c r="AD7" s="2" t="n">
        <v>0.6388</v>
      </c>
      <c r="AE7" s="2" t="n">
        <v>0.1527</v>
      </c>
      <c r="AF7" s="2" t="n">
        <v>6</v>
      </c>
      <c r="AG7" s="2" t="n">
        <v>5</v>
      </c>
    </row>
    <row r="8">
      <c r="A8" s="2" t="inlineStr">
        <is>
          <t>pieza_07.png</t>
        </is>
      </c>
      <c r="B8" s="2" t="inlineStr">
        <is>
          <t>pieza_07.FCStd</t>
        </is>
      </c>
      <c r="C8" s="2" t="inlineStr">
        <is>
          <t>estrella_dentada</t>
        </is>
      </c>
      <c r="D8" s="2" t="n">
        <v>105</v>
      </c>
      <c r="E8" s="2" t="n">
        <v>45</v>
      </c>
      <c r="F8" s="2" t="n">
        <v>60</v>
      </c>
      <c r="G8" s="2" t="n">
        <v>10</v>
      </c>
      <c r="H8" s="2" t="n">
        <v>15</v>
      </c>
      <c r="I8" s="2" t="n">
        <v>1.5</v>
      </c>
      <c r="J8" s="2" t="n">
        <v>680</v>
      </c>
      <c r="K8" s="2" t="n">
        <v>299</v>
      </c>
      <c r="L8" s="2" t="n">
        <v>10</v>
      </c>
      <c r="M8" s="2" t="n">
        <v>15.25</v>
      </c>
      <c r="N8" s="2" t="n">
        <v>0.25</v>
      </c>
      <c r="O8" s="2" t="n">
        <v>208.6603</v>
      </c>
      <c r="P8" s="2" t="n">
        <v>-34.75</v>
      </c>
      <c r="Q8" s="2" t="n">
        <v>405</v>
      </c>
      <c r="R8" s="2" t="n">
        <v>0</v>
      </c>
      <c r="S8" s="2" t="n">
        <v>-30</v>
      </c>
      <c r="T8" s="2" t="n">
        <v>45</v>
      </c>
      <c r="U8" s="2" t="n">
        <v>74498</v>
      </c>
      <c r="V8" s="2" t="n">
        <v>458</v>
      </c>
      <c r="W8" s="2" t="n">
        <v>78</v>
      </c>
      <c r="X8" s="2" t="n">
        <v>445</v>
      </c>
      <c r="Y8" s="2" t="n">
        <v>445</v>
      </c>
      <c r="Z8" s="2" t="inlineStr">
        <is>
          <t>perfil_abierto_o_irregular</t>
        </is>
      </c>
      <c r="AA8" s="2" t="n">
        <v>1837.5819</v>
      </c>
      <c r="AB8" s="2" t="n">
        <v>1</v>
      </c>
      <c r="AC8" s="2" t="n">
        <v>0.3762</v>
      </c>
      <c r="AD8" s="2" t="n">
        <v>0.5404</v>
      </c>
      <c r="AE8" s="2" t="n">
        <v>0.2772</v>
      </c>
      <c r="AF8" s="2" t="n">
        <v>12</v>
      </c>
      <c r="AG8" s="2" t="n">
        <v>1</v>
      </c>
    </row>
    <row r="9">
      <c r="A9" s="2" t="inlineStr">
        <is>
          <t>pieza_08.png</t>
        </is>
      </c>
      <c r="B9" s="2" t="inlineStr">
        <is>
          <t>pieza_08.FCStd</t>
        </is>
      </c>
      <c r="C9" s="2" t="inlineStr">
        <is>
          <t>brazo_mecanico_redondeado</t>
        </is>
      </c>
      <c r="D9" s="2" t="n">
        <v>125</v>
      </c>
      <c r="E9" s="2" t="n">
        <v>54.8725</v>
      </c>
      <c r="F9" s="2" t="n">
        <v>70.1275</v>
      </c>
      <c r="G9" s="2" t="n">
        <v>-12</v>
      </c>
      <c r="H9" s="2" t="n">
        <v>15</v>
      </c>
      <c r="I9" s="2" t="n">
        <v>1.5</v>
      </c>
      <c r="J9" s="2" t="n">
        <v>592</v>
      </c>
      <c r="K9" s="2" t="n">
        <v>301</v>
      </c>
      <c r="L9" s="2" t="n">
        <v>-12</v>
      </c>
      <c r="M9" s="2" t="n">
        <v>14.75</v>
      </c>
      <c r="N9" s="2" t="n">
        <v>0.25</v>
      </c>
      <c r="O9" s="2" t="n">
        <v>189.6077</v>
      </c>
      <c r="P9" s="2" t="n">
        <v>-35.25</v>
      </c>
      <c r="Q9" s="2" t="n">
        <v>394</v>
      </c>
      <c r="R9" s="2" t="n">
        <v>0</v>
      </c>
      <c r="S9" s="2" t="n">
        <v>-30</v>
      </c>
      <c r="T9" s="2" t="n">
        <v>54.8725</v>
      </c>
      <c r="U9" s="2" t="n">
        <v>121142</v>
      </c>
      <c r="V9" s="2" t="n">
        <v>347</v>
      </c>
      <c r="W9" s="2" t="n">
        <v>0</v>
      </c>
      <c r="X9" s="2" t="n">
        <v>491</v>
      </c>
      <c r="Y9" s="2" t="n">
        <v>610</v>
      </c>
      <c r="Z9" s="2" t="inlineStr">
        <is>
          <t>hexagono</t>
        </is>
      </c>
      <c r="AA9" s="2" t="n">
        <v>1727.0277</v>
      </c>
      <c r="AB9" s="2" t="n">
        <v>0.8048999999999999</v>
      </c>
      <c r="AC9" s="2" t="n">
        <v>0.4045</v>
      </c>
      <c r="AD9" s="2" t="n">
        <v>0.9385</v>
      </c>
      <c r="AE9" s="2" t="n">
        <v>0.5104</v>
      </c>
      <c r="AF9" s="2" t="n">
        <v>6</v>
      </c>
      <c r="AG9" s="2" t="n">
        <v>2</v>
      </c>
    </row>
    <row r="10">
      <c r="A10" s="2" t="inlineStr">
        <is>
          <t>pieza_09.png</t>
        </is>
      </c>
      <c r="B10" s="2" t="inlineStr">
        <is>
          <t>pieza_09.FCStd</t>
        </is>
      </c>
      <c r="C10" s="2" t="inlineStr">
        <is>
          <t>placa_ranurada_larga</t>
        </is>
      </c>
      <c r="D10" s="2" t="n">
        <v>145</v>
      </c>
      <c r="E10" s="2" t="n">
        <v>35.0108</v>
      </c>
      <c r="F10" s="2" t="n">
        <v>70.0108</v>
      </c>
      <c r="G10" s="2" t="n">
        <v>-0</v>
      </c>
      <c r="H10" s="2" t="n">
        <v>-15</v>
      </c>
      <c r="I10" s="2" t="n">
        <v>1.5</v>
      </c>
      <c r="J10" s="2" t="n">
        <v>639</v>
      </c>
      <c r="K10" s="2" t="n">
        <v>419</v>
      </c>
      <c r="L10" s="2" t="n">
        <v>-0.25</v>
      </c>
      <c r="M10" s="2" t="n">
        <v>-14.75</v>
      </c>
      <c r="N10" s="2" t="n">
        <v>0.3536</v>
      </c>
      <c r="O10" s="2" t="n">
        <v>199.7835</v>
      </c>
      <c r="P10" s="2" t="n">
        <v>-64.75</v>
      </c>
      <c r="Q10" s="2" t="n">
        <v>399.875</v>
      </c>
      <c r="R10" s="2" t="n">
        <v>0</v>
      </c>
      <c r="S10" s="2" t="n">
        <v>-30</v>
      </c>
      <c r="T10" s="2" t="n">
        <v>35.0108</v>
      </c>
      <c r="U10" s="2" t="n">
        <v>99662</v>
      </c>
      <c r="V10" s="2" t="n">
        <v>345</v>
      </c>
      <c r="W10" s="2" t="n">
        <v>177</v>
      </c>
      <c r="X10" s="2" t="n">
        <v>591</v>
      </c>
      <c r="Y10" s="2" t="n">
        <v>487</v>
      </c>
      <c r="Z10" s="2" t="inlineStr">
        <is>
          <t>cuadrilatero_rombo_rectangulo</t>
        </is>
      </c>
      <c r="AA10" s="2" t="n">
        <v>1635.3363</v>
      </c>
      <c r="AB10" s="2" t="n">
        <v>1.2136</v>
      </c>
      <c r="AC10" s="2" t="n">
        <v>0.3463</v>
      </c>
      <c r="AD10" s="2" t="n">
        <v>0.9398</v>
      </c>
      <c r="AE10" s="2" t="n">
        <v>0.4683</v>
      </c>
      <c r="AF10" s="2" t="n">
        <v>4</v>
      </c>
      <c r="AG10" s="2" t="n">
        <v>2</v>
      </c>
    </row>
    <row r="11">
      <c r="A11" s="2" t="inlineStr">
        <is>
          <t>pieza_10.png</t>
        </is>
      </c>
      <c r="B11" s="2" t="inlineStr">
        <is>
          <t>pieza_10.FCStd</t>
        </is>
      </c>
      <c r="C11" s="2" t="inlineStr">
        <is>
          <t>soporte_L_ancho</t>
        </is>
      </c>
      <c r="D11" s="2" t="n">
        <v>-15</v>
      </c>
      <c r="E11" s="2" t="n">
        <v>-6.2969</v>
      </c>
      <c r="F11" s="2" t="n">
        <v>8.703099999999999</v>
      </c>
      <c r="G11" s="2" t="n">
        <v>9.897500000000001</v>
      </c>
      <c r="H11" s="2" t="n">
        <v>6.8034</v>
      </c>
      <c r="I11" s="2" t="n">
        <v>1.5</v>
      </c>
      <c r="J11" s="2" t="n">
        <v>679</v>
      </c>
      <c r="K11" s="2" t="n">
        <v>332</v>
      </c>
      <c r="L11" s="2" t="n">
        <v>9.75</v>
      </c>
      <c r="M11" s="2" t="n">
        <v>7</v>
      </c>
      <c r="N11" s="2" t="n">
        <v>0.2458</v>
      </c>
      <c r="O11" s="2" t="n">
        <v>208.4437</v>
      </c>
      <c r="P11" s="2" t="n">
        <v>-43</v>
      </c>
      <c r="Q11" s="2" t="n">
        <v>404.875</v>
      </c>
      <c r="R11" s="2" t="n">
        <v>0</v>
      </c>
      <c r="S11" s="2" t="n">
        <v>-30</v>
      </c>
      <c r="T11" s="2" t="n">
        <v>-6.2969</v>
      </c>
      <c r="U11" s="2" t="n">
        <v>135358</v>
      </c>
      <c r="V11" s="2" t="n">
        <v>413</v>
      </c>
      <c r="W11" s="2" t="n">
        <v>130</v>
      </c>
      <c r="X11" s="2" t="n">
        <v>578</v>
      </c>
      <c r="Y11" s="2" t="n">
        <v>415</v>
      </c>
      <c r="Z11" s="2" t="inlineStr">
        <is>
          <t>hexagono</t>
        </is>
      </c>
      <c r="AA11" s="2" t="n">
        <v>1881.2245</v>
      </c>
      <c r="AB11" s="2" t="n">
        <v>1.3928</v>
      </c>
      <c r="AC11" s="2" t="n">
        <v>0.5643</v>
      </c>
      <c r="AD11" s="2" t="n">
        <v>0.8194</v>
      </c>
      <c r="AE11" s="2" t="n">
        <v>0.4806</v>
      </c>
      <c r="AF11" s="2" t="n">
        <v>6</v>
      </c>
      <c r="AG11" s="2" t="n">
        <v>2</v>
      </c>
    </row>
    <row r="12">
      <c r="A12" s="2" t="inlineStr">
        <is>
          <t>pieza_11.png</t>
        </is>
      </c>
      <c r="B12" s="2" t="inlineStr">
        <is>
          <t>pieza_11.FCStd</t>
        </is>
      </c>
      <c r="C12" s="2" t="inlineStr">
        <is>
          <t>perfil_U_abierto</t>
        </is>
      </c>
      <c r="D12" s="2" t="n">
        <v>-32</v>
      </c>
      <c r="E12" s="2" t="n">
        <v>31.9483</v>
      </c>
      <c r="F12" s="2" t="n">
        <v>63.9483</v>
      </c>
      <c r="G12" s="2" t="n">
        <v>-6.5261</v>
      </c>
      <c r="H12" s="2" t="n">
        <v>16.0779</v>
      </c>
      <c r="I12" s="2" t="n">
        <v>1.5</v>
      </c>
      <c r="J12" s="2" t="n">
        <v>614</v>
      </c>
      <c r="K12" s="2" t="n">
        <v>295</v>
      </c>
      <c r="L12" s="2" t="n">
        <v>-6.5</v>
      </c>
      <c r="M12" s="2" t="n">
        <v>16.25</v>
      </c>
      <c r="N12" s="2" t="n">
        <v>0.174</v>
      </c>
      <c r="O12" s="2" t="n">
        <v>194.3708</v>
      </c>
      <c r="P12" s="2" t="n">
        <v>-33.75</v>
      </c>
      <c r="Q12" s="2" t="n">
        <v>396.75</v>
      </c>
      <c r="R12" s="2" t="n">
        <v>0</v>
      </c>
      <c r="S12" s="2" t="n">
        <v>-30</v>
      </c>
      <c r="T12" s="2" t="n">
        <v>31.9483</v>
      </c>
      <c r="U12" s="2" t="n">
        <v>130058</v>
      </c>
      <c r="V12" s="2" t="n">
        <v>308</v>
      </c>
      <c r="W12" s="2" t="n">
        <v>18</v>
      </c>
      <c r="X12" s="2" t="n">
        <v>665</v>
      </c>
      <c r="Y12" s="2" t="n">
        <v>589</v>
      </c>
      <c r="Z12" s="2" t="inlineStr">
        <is>
          <t>octagono_o_poligono_regular</t>
        </is>
      </c>
      <c r="AA12" s="2" t="n">
        <v>2862.8695</v>
      </c>
      <c r="AB12" s="2" t="n">
        <v>1.129</v>
      </c>
      <c r="AC12" s="2" t="n">
        <v>0.332</v>
      </c>
      <c r="AD12" s="2" t="n">
        <v>0.6701</v>
      </c>
      <c r="AE12" s="2" t="n">
        <v>0.1994</v>
      </c>
      <c r="AF12" s="2" t="n">
        <v>8</v>
      </c>
      <c r="AG12" s="2" t="n">
        <v>1</v>
      </c>
    </row>
    <row r="13">
      <c r="A13" s="2" t="inlineStr">
        <is>
          <t>pieza_12.png</t>
        </is>
      </c>
      <c r="B13" s="2" t="inlineStr">
        <is>
          <t>pieza_12.FCStd</t>
        </is>
      </c>
      <c r="C13" s="2" t="inlineStr">
        <is>
          <t>placa_cruz</t>
        </is>
      </c>
      <c r="D13" s="2" t="n">
        <v>-48</v>
      </c>
      <c r="E13" s="2" t="n">
        <v>64.5967</v>
      </c>
      <c r="F13" s="2" t="n">
        <v>67.4033</v>
      </c>
      <c r="G13" s="2" t="n">
        <v>-18</v>
      </c>
      <c r="H13" s="2" t="n">
        <v>5</v>
      </c>
      <c r="I13" s="2" t="n">
        <v>1.5</v>
      </c>
      <c r="J13" s="2" t="n">
        <v>567</v>
      </c>
      <c r="K13" s="2" t="n">
        <v>340</v>
      </c>
      <c r="L13" s="2" t="n">
        <v>-18.25</v>
      </c>
      <c r="M13" s="2" t="n">
        <v>5</v>
      </c>
      <c r="N13" s="2" t="n">
        <v>0.25</v>
      </c>
      <c r="O13" s="2" t="n">
        <v>184.195</v>
      </c>
      <c r="P13" s="2" t="n">
        <v>-45</v>
      </c>
      <c r="Q13" s="2" t="n">
        <v>390.875</v>
      </c>
      <c r="R13" s="2" t="n">
        <v>0</v>
      </c>
      <c r="S13" s="2" t="n">
        <v>-30</v>
      </c>
      <c r="T13" s="2" t="n">
        <v>64.5967</v>
      </c>
      <c r="U13" s="2" t="n">
        <v>159338</v>
      </c>
      <c r="V13" s="2" t="n">
        <v>312</v>
      </c>
      <c r="W13" s="2" t="n">
        <v>84</v>
      </c>
      <c r="X13" s="2" t="n">
        <v>513</v>
      </c>
      <c r="Y13" s="2" t="n">
        <v>513</v>
      </c>
      <c r="Z13" s="2" t="inlineStr">
        <is>
          <t>pieza_una_perforacion</t>
        </is>
      </c>
      <c r="AA13" s="2" t="n">
        <v>2108.301</v>
      </c>
      <c r="AB13" s="2" t="n">
        <v>1</v>
      </c>
      <c r="AC13" s="2" t="n">
        <v>0.6055</v>
      </c>
      <c r="AD13" s="2" t="n">
        <v>0.7393999999999999</v>
      </c>
      <c r="AE13" s="2" t="n">
        <v>0.4505</v>
      </c>
      <c r="AF13" s="2" t="n">
        <v>12</v>
      </c>
      <c r="AG13" s="2" t="n">
        <v>1</v>
      </c>
    </row>
    <row r="14">
      <c r="A14" s="2" t="inlineStr">
        <is>
          <t>pieza_13.png</t>
        </is>
      </c>
      <c r="B14" s="2" t="inlineStr">
        <is>
          <t>pieza_13.FCStd</t>
        </is>
      </c>
      <c r="C14" s="2" t="inlineStr">
        <is>
          <t>base_irregular_tres_perforaciones</t>
        </is>
      </c>
      <c r="D14" s="2" t="n">
        <v>-62</v>
      </c>
      <c r="E14" s="2" t="n">
        <v>64.7303</v>
      </c>
      <c r="F14" s="2" t="n">
        <v>53.2697</v>
      </c>
      <c r="G14" s="2" t="n">
        <v>11.0088</v>
      </c>
      <c r="H14" s="2" t="n">
        <v>-13.6675</v>
      </c>
      <c r="I14" s="2" t="n">
        <v>1.5</v>
      </c>
      <c r="J14" s="2" t="n">
        <v>684</v>
      </c>
      <c r="K14" s="2" t="n">
        <v>414</v>
      </c>
      <c r="L14" s="2" t="n">
        <v>11</v>
      </c>
      <c r="M14" s="2" t="n">
        <v>-13.5</v>
      </c>
      <c r="N14" s="2" t="n">
        <v>0.1677</v>
      </c>
      <c r="O14" s="2" t="n">
        <v>209.5263</v>
      </c>
      <c r="P14" s="2" t="n">
        <v>-63.5</v>
      </c>
      <c r="Q14" s="2" t="n">
        <v>405.5</v>
      </c>
      <c r="R14" s="2" t="n">
        <v>0</v>
      </c>
      <c r="S14" s="2" t="n">
        <v>-30</v>
      </c>
      <c r="T14" s="2" t="n">
        <v>64.7303</v>
      </c>
      <c r="U14" s="2" t="n">
        <v>157155</v>
      </c>
      <c r="V14" s="2" t="n">
        <v>455</v>
      </c>
      <c r="W14" s="2" t="n">
        <v>113</v>
      </c>
      <c r="X14" s="2" t="n">
        <v>446</v>
      </c>
      <c r="Y14" s="2" t="n">
        <v>602</v>
      </c>
      <c r="Z14" s="2" t="inlineStr">
        <is>
          <t>base_o_soporte_tres_perforaciones</t>
        </is>
      </c>
      <c r="AA14" s="2" t="n">
        <v>1873.8906</v>
      </c>
      <c r="AB14" s="2" t="n">
        <v>0.7409</v>
      </c>
      <c r="AC14" s="2" t="n">
        <v>0.5853</v>
      </c>
      <c r="AD14" s="2" t="n">
        <v>0.839</v>
      </c>
      <c r="AE14" s="2" t="n">
        <v>0.5624</v>
      </c>
      <c r="AF14" s="2" t="n">
        <v>12</v>
      </c>
      <c r="AG14" s="2" t="n">
        <v>3</v>
      </c>
    </row>
    <row r="15">
      <c r="A15" s="2" t="inlineStr">
        <is>
          <t>pieza_14.png</t>
        </is>
      </c>
      <c r="B15" s="2" t="inlineStr">
        <is>
          <t>pieza_14.FCStd</t>
        </is>
      </c>
      <c r="C15" s="2" t="inlineStr">
        <is>
          <t>placa_trapezoidal</t>
        </is>
      </c>
      <c r="D15" s="2" t="n">
        <v>-80</v>
      </c>
      <c r="E15" s="2" t="n">
        <v>74.84269999999999</v>
      </c>
      <c r="F15" s="2" t="n">
        <v>25.1573</v>
      </c>
      <c r="G15" s="2" t="n">
        <v>-10.988</v>
      </c>
      <c r="H15" s="2" t="n">
        <v>-10.1793</v>
      </c>
      <c r="I15" s="2" t="n">
        <v>1.5</v>
      </c>
      <c r="J15" s="2" t="n">
        <v>595</v>
      </c>
      <c r="K15" s="2" t="n">
        <v>400</v>
      </c>
      <c r="L15" s="2" t="n">
        <v>-11.25</v>
      </c>
      <c r="M15" s="2" t="n">
        <v>-10</v>
      </c>
      <c r="N15" s="2" t="n">
        <v>0.3174</v>
      </c>
      <c r="O15" s="2" t="n">
        <v>190.2572</v>
      </c>
      <c r="P15" s="2" t="n">
        <v>-60</v>
      </c>
      <c r="Q15" s="2" t="n">
        <v>394.375</v>
      </c>
      <c r="R15" s="2" t="n">
        <v>0</v>
      </c>
      <c r="S15" s="2" t="n">
        <v>-30</v>
      </c>
      <c r="T15" s="2" t="n">
        <v>74.84269999999999</v>
      </c>
      <c r="U15" s="2" t="n">
        <v>129470</v>
      </c>
      <c r="V15" s="2" t="n">
        <v>401</v>
      </c>
      <c r="W15" s="2" t="n">
        <v>149</v>
      </c>
      <c r="X15" s="2" t="n">
        <v>355</v>
      </c>
      <c r="Y15" s="2" t="n">
        <v>540</v>
      </c>
      <c r="Z15" s="2" t="inlineStr">
        <is>
          <t>cuadrilatero_rombo_rectangulo</t>
        </is>
      </c>
      <c r="AA15" s="2" t="n">
        <v>1651.2691</v>
      </c>
      <c r="AB15" s="2" t="n">
        <v>0.6574</v>
      </c>
      <c r="AC15" s="2" t="n">
        <v>0.6754</v>
      </c>
      <c r="AD15" s="2" t="n">
        <v>0.9637</v>
      </c>
      <c r="AE15" s="2" t="n">
        <v>0.5967</v>
      </c>
      <c r="AF15" s="2" t="n">
        <v>4</v>
      </c>
      <c r="AG15" s="2" t="n">
        <v>2</v>
      </c>
    </row>
    <row r="16">
      <c r="A16" s="2" t="inlineStr">
        <is>
          <t>pieza_15.png</t>
        </is>
      </c>
      <c r="B16" s="2" t="inlineStr">
        <is>
          <t>pieza_15.FCStd</t>
        </is>
      </c>
      <c r="C16" s="2" t="inlineStr">
        <is>
          <t>perfil_muescado</t>
        </is>
      </c>
      <c r="D16" s="2" t="n">
        <v>-98</v>
      </c>
      <c r="E16" s="2" t="n">
        <v>-82.0068</v>
      </c>
      <c r="F16" s="2" t="n">
        <v>15.9932</v>
      </c>
      <c r="G16" s="2" t="n">
        <v>24.7276</v>
      </c>
      <c r="H16" s="2" t="n">
        <v>-1.9384</v>
      </c>
      <c r="I16" s="2" t="n">
        <v>1.5</v>
      </c>
      <c r="J16" s="2" t="n">
        <v>738</v>
      </c>
      <c r="K16" s="2" t="n">
        <v>367</v>
      </c>
      <c r="L16" s="2" t="n">
        <v>24.5</v>
      </c>
      <c r="M16" s="2" t="n">
        <v>-1.75</v>
      </c>
      <c r="N16" s="2" t="n">
        <v>0.2954</v>
      </c>
      <c r="O16" s="2" t="n">
        <v>221.2176</v>
      </c>
      <c r="P16" s="2" t="n">
        <v>-51.75</v>
      </c>
      <c r="Q16" s="2" t="n">
        <v>412.25</v>
      </c>
      <c r="R16" s="2" t="n">
        <v>0</v>
      </c>
      <c r="S16" s="2" t="n">
        <v>-30</v>
      </c>
      <c r="T16" s="2" t="n">
        <v>-82.0068</v>
      </c>
      <c r="U16" s="2" t="n">
        <v>130330</v>
      </c>
      <c r="V16" s="2" t="n">
        <v>570</v>
      </c>
      <c r="W16" s="2" t="n">
        <v>33</v>
      </c>
      <c r="X16" s="2" t="n">
        <v>341</v>
      </c>
      <c r="Y16" s="2" t="n">
        <v>655</v>
      </c>
      <c r="Z16" s="2" t="inlineStr">
        <is>
          <t>pieza_dos_perforaciones</t>
        </is>
      </c>
      <c r="AA16" s="2" t="n">
        <v>2208.2641</v>
      </c>
      <c r="AB16" s="2" t="n">
        <v>0.5206</v>
      </c>
      <c r="AC16" s="2" t="n">
        <v>0.5835</v>
      </c>
      <c r="AD16" s="2" t="n">
        <v>0.8128</v>
      </c>
      <c r="AE16" s="2" t="n">
        <v>0.3359</v>
      </c>
      <c r="AF16" s="2" t="n">
        <v>12</v>
      </c>
      <c r="AG16" s="2" t="n">
        <v>2</v>
      </c>
    </row>
    <row r="17">
      <c r="A17" s="2" t="inlineStr">
        <is>
          <t>pieza_16.png</t>
        </is>
      </c>
      <c r="B17" s="2" t="inlineStr">
        <is>
          <t>pieza_16.FCStd</t>
        </is>
      </c>
      <c r="C17" s="2" t="inlineStr">
        <is>
          <t>rombo_perforado</t>
        </is>
      </c>
      <c r="D17" s="2" t="n">
        <v>-115</v>
      </c>
      <c r="E17" s="2" t="n">
        <v>25.2328</v>
      </c>
      <c r="F17" s="2" t="n">
        <v>39.7672</v>
      </c>
      <c r="G17" s="2" t="n">
        <v>-25</v>
      </c>
      <c r="H17" s="2" t="n">
        <v>0</v>
      </c>
      <c r="I17" s="2" t="n">
        <v>1.5</v>
      </c>
      <c r="J17" s="2" t="n">
        <v>540</v>
      </c>
      <c r="K17" s="2" t="n">
        <v>360</v>
      </c>
      <c r="L17" s="2" t="n">
        <v>-25</v>
      </c>
      <c r="M17" s="2" t="n">
        <v>-0</v>
      </c>
      <c r="N17" s="2" t="n">
        <v>0</v>
      </c>
      <c r="O17" s="2" t="n">
        <v>178.3494</v>
      </c>
      <c r="P17" s="2" t="n">
        <v>-50</v>
      </c>
      <c r="Q17" s="2" t="n">
        <v>387.5</v>
      </c>
      <c r="R17" s="2" t="n">
        <v>0</v>
      </c>
      <c r="S17" s="2" t="n">
        <v>-30</v>
      </c>
      <c r="T17" s="2" t="n">
        <v>25.2328</v>
      </c>
      <c r="U17" s="2" t="n">
        <v>100578</v>
      </c>
      <c r="V17" s="2" t="n">
        <v>323</v>
      </c>
      <c r="W17" s="2" t="n">
        <v>143</v>
      </c>
      <c r="X17" s="2" t="n">
        <v>435</v>
      </c>
      <c r="Y17" s="2" t="n">
        <v>435</v>
      </c>
      <c r="Z17" s="2" t="inlineStr">
        <is>
          <t>cuadrilatero_rombo_rectangulo</t>
        </is>
      </c>
      <c r="AA17" s="2" t="n">
        <v>1412.6459</v>
      </c>
      <c r="AB17" s="2" t="n">
        <v>1</v>
      </c>
      <c r="AC17" s="2" t="n">
        <v>0.5315</v>
      </c>
      <c r="AD17" s="2" t="n">
        <v>0.9305</v>
      </c>
      <c r="AE17" s="2" t="n">
        <v>0.6334</v>
      </c>
      <c r="AF17" s="2" t="n">
        <v>4</v>
      </c>
      <c r="AG17" s="2" t="n">
        <v>3</v>
      </c>
    </row>
    <row r="18">
      <c r="A18" s="2" t="inlineStr">
        <is>
          <t>pieza_17.png</t>
        </is>
      </c>
      <c r="B18" s="2" t="inlineStr">
        <is>
          <t>pieza_17.FCStd</t>
        </is>
      </c>
      <c r="C18" s="2" t="inlineStr">
        <is>
          <t>pentagono_mecanico</t>
        </is>
      </c>
      <c r="D18" s="2" t="n">
        <v>-130</v>
      </c>
      <c r="E18" s="2" t="n">
        <v>-42.7858</v>
      </c>
      <c r="F18" s="2" t="n">
        <v>87.21420000000001</v>
      </c>
      <c r="G18" s="2" t="n">
        <v>0</v>
      </c>
      <c r="H18" s="2" t="n">
        <v>18</v>
      </c>
      <c r="I18" s="2" t="n">
        <v>1.5</v>
      </c>
      <c r="J18" s="2" t="n">
        <v>640</v>
      </c>
      <c r="K18" s="2" t="n">
        <v>288</v>
      </c>
      <c r="L18" s="2" t="n">
        <v>0</v>
      </c>
      <c r="M18" s="2" t="n">
        <v>18</v>
      </c>
      <c r="N18" s="2" t="n">
        <v>0</v>
      </c>
      <c r="O18" s="2" t="n">
        <v>200</v>
      </c>
      <c r="P18" s="2" t="n">
        <v>-32</v>
      </c>
      <c r="Q18" s="2" t="n">
        <v>400</v>
      </c>
      <c r="R18" s="2" t="n">
        <v>0</v>
      </c>
      <c r="S18" s="2" t="n">
        <v>-30</v>
      </c>
      <c r="T18" s="2" t="n">
        <v>-42.7858</v>
      </c>
      <c r="U18" s="2" t="n">
        <v>124474</v>
      </c>
      <c r="V18" s="2" t="n">
        <v>410</v>
      </c>
      <c r="W18" s="2" t="n">
        <v>64</v>
      </c>
      <c r="X18" s="2" t="n">
        <v>428</v>
      </c>
      <c r="Y18" s="2" t="n">
        <v>440</v>
      </c>
      <c r="Z18" s="2" t="inlineStr">
        <is>
          <t>pentagono</t>
        </is>
      </c>
      <c r="AA18" s="2" t="n">
        <v>1437.9352</v>
      </c>
      <c r="AB18" s="2" t="n">
        <v>0.9727</v>
      </c>
      <c r="AC18" s="2" t="n">
        <v>0.661</v>
      </c>
      <c r="AD18" s="2" t="n">
        <v>0.9689</v>
      </c>
      <c r="AE18" s="2" t="n">
        <v>0.7565</v>
      </c>
      <c r="AF18" s="2" t="n">
        <v>5</v>
      </c>
      <c r="AG18" s="2" t="n">
        <v>1</v>
      </c>
    </row>
    <row r="19">
      <c r="A19" s="2" t="inlineStr">
        <is>
          <t>pieza_18.png</t>
        </is>
      </c>
      <c r="B19" s="2" t="inlineStr">
        <is>
          <t>pieza_18.FCStd</t>
        </is>
      </c>
      <c r="C19" s="2" t="inlineStr">
        <is>
          <t>media_luna_tecnica</t>
        </is>
      </c>
      <c r="D19" s="2" t="n">
        <v>-145</v>
      </c>
      <c r="E19" s="2" t="n">
        <v>-42.948</v>
      </c>
      <c r="F19" s="2" t="n">
        <v>77.94799999999999</v>
      </c>
      <c r="G19" s="2" t="n">
        <v>0.258</v>
      </c>
      <c r="H19" s="2" t="n">
        <v>-10.67</v>
      </c>
      <c r="I19" s="2" t="n">
        <v>1.5</v>
      </c>
      <c r="J19" s="2" t="n">
        <v>641</v>
      </c>
      <c r="K19" s="2" t="n">
        <v>402</v>
      </c>
      <c r="L19" s="2" t="n">
        <v>0.25</v>
      </c>
      <c r="M19" s="2" t="n">
        <v>-10.5</v>
      </c>
      <c r="N19" s="2" t="n">
        <v>0.1702</v>
      </c>
      <c r="O19" s="2" t="n">
        <v>200.2165</v>
      </c>
      <c r="P19" s="2" t="n">
        <v>-60.5</v>
      </c>
      <c r="Q19" s="2" t="n">
        <v>400.125</v>
      </c>
      <c r="R19" s="2" t="n">
        <v>0</v>
      </c>
      <c r="S19" s="2" t="n">
        <v>-30</v>
      </c>
      <c r="T19" s="2" t="n">
        <v>-42.948</v>
      </c>
      <c r="U19" s="2" t="n">
        <v>170608</v>
      </c>
      <c r="V19" s="2" t="n">
        <v>368</v>
      </c>
      <c r="W19" s="2" t="n">
        <v>136</v>
      </c>
      <c r="X19" s="2" t="n">
        <v>514</v>
      </c>
      <c r="Y19" s="2" t="n">
        <v>503</v>
      </c>
      <c r="Z19" s="2" t="inlineStr">
        <is>
          <t>octagono_o_poligono_regular</t>
        </is>
      </c>
      <c r="AA19" s="2" t="n">
        <v>1641.6236</v>
      </c>
      <c r="AB19" s="2" t="n">
        <v>1.0219</v>
      </c>
      <c r="AC19" s="2" t="n">
        <v>0.6599</v>
      </c>
      <c r="AD19" s="2" t="n">
        <v>0.9467</v>
      </c>
      <c r="AE19" s="2" t="n">
        <v>0.7955</v>
      </c>
      <c r="AF19" s="2" t="n">
        <v>8</v>
      </c>
      <c r="AG19" s="2" t="n">
        <v>2</v>
      </c>
    </row>
    <row r="20">
      <c r="A20" s="2" t="inlineStr">
        <is>
          <t>pieza_19.png</t>
        </is>
      </c>
      <c r="B20" s="2" t="inlineStr">
        <is>
          <t>pieza_19.FCStd</t>
        </is>
      </c>
      <c r="C20" s="2" t="inlineStr">
        <is>
          <t>brida_rectangular_4_perforaciones</t>
        </is>
      </c>
      <c r="D20" s="2" t="n">
        <v>160</v>
      </c>
      <c r="E20" s="2" t="n">
        <v>20.0029</v>
      </c>
      <c r="F20" s="2" t="n">
        <v>40.0029</v>
      </c>
      <c r="G20" s="2" t="n">
        <v>15</v>
      </c>
      <c r="H20" s="2" t="n">
        <v>-10</v>
      </c>
      <c r="I20" s="2" t="n">
        <v>1.5</v>
      </c>
      <c r="J20" s="2" t="n">
        <v>699</v>
      </c>
      <c r="K20" s="2" t="n">
        <v>399</v>
      </c>
      <c r="L20" s="2" t="n">
        <v>14.75</v>
      </c>
      <c r="M20" s="2" t="n">
        <v>-9.75</v>
      </c>
      <c r="N20" s="2" t="n">
        <v>0.3536</v>
      </c>
      <c r="O20" s="2" t="n">
        <v>212.7739</v>
      </c>
      <c r="P20" s="2" t="n">
        <v>-59.75</v>
      </c>
      <c r="Q20" s="2" t="n">
        <v>407.375</v>
      </c>
      <c r="R20" s="2" t="n">
        <v>0</v>
      </c>
      <c r="S20" s="2" t="n">
        <v>-30</v>
      </c>
      <c r="T20" s="2" t="n">
        <v>20.0029</v>
      </c>
      <c r="U20" s="2" t="n">
        <v>170437</v>
      </c>
      <c r="V20" s="2" t="n">
        <v>388</v>
      </c>
      <c r="W20" s="2" t="n">
        <v>150</v>
      </c>
      <c r="X20" s="2" t="n">
        <v>625</v>
      </c>
      <c r="Y20" s="2" t="n">
        <v>501</v>
      </c>
      <c r="Z20" s="2" t="inlineStr">
        <is>
          <t>cuadrilatero_rombo_rectangulo</t>
        </is>
      </c>
      <c r="AA20" s="2" t="n">
        <v>1897.6997</v>
      </c>
      <c r="AB20" s="2" t="n">
        <v>1.2475</v>
      </c>
      <c r="AC20" s="2" t="n">
        <v>0.5443</v>
      </c>
      <c r="AD20" s="2" t="n">
        <v>0.9281</v>
      </c>
      <c r="AE20" s="2" t="n">
        <v>0.5947</v>
      </c>
      <c r="AF20" s="2" t="n">
        <v>4</v>
      </c>
      <c r="AG20" s="2" t="n">
        <v>5</v>
      </c>
    </row>
    <row r="21">
      <c r="A21" s="2" t="inlineStr">
        <is>
          <t>pieza_20.png</t>
        </is>
      </c>
      <c r="B21" s="2" t="inlineStr">
        <is>
          <t>pieza_20.FCStd</t>
        </is>
      </c>
      <c r="C21" s="2" t="inlineStr">
        <is>
          <t>soporte_compuesto_irregular</t>
        </is>
      </c>
      <c r="D21" s="2" t="n">
        <v>172</v>
      </c>
      <c r="E21" s="2" t="n">
        <v>8.647399999999999</v>
      </c>
      <c r="F21" s="2" t="n">
        <v>16.6474</v>
      </c>
      <c r="G21" s="2" t="n">
        <v>-14.7364</v>
      </c>
      <c r="H21" s="2" t="n">
        <v>12.4705</v>
      </c>
      <c r="I21" s="2" t="n">
        <v>1.5</v>
      </c>
      <c r="J21" s="2" t="n">
        <v>581</v>
      </c>
      <c r="K21" s="2" t="n">
        <v>310</v>
      </c>
      <c r="L21" s="2" t="n">
        <v>-14.75</v>
      </c>
      <c r="M21" s="2" t="n">
        <v>12.5</v>
      </c>
      <c r="N21" s="2" t="n">
        <v>0.0325</v>
      </c>
      <c r="O21" s="2" t="n">
        <v>187.2261</v>
      </c>
      <c r="P21" s="2" t="n">
        <v>-37.5</v>
      </c>
      <c r="Q21" s="2" t="n">
        <v>392.625</v>
      </c>
      <c r="R21" s="2" t="n">
        <v>0</v>
      </c>
      <c r="S21" s="2" t="n">
        <v>-30</v>
      </c>
      <c r="T21" s="2" t="n">
        <v>8.647399999999999</v>
      </c>
      <c r="U21" s="2" t="n">
        <v>148867</v>
      </c>
      <c r="V21" s="2" t="n">
        <v>260</v>
      </c>
      <c r="W21" s="2" t="n">
        <v>112</v>
      </c>
      <c r="X21" s="2" t="n">
        <v>641</v>
      </c>
      <c r="Y21" s="2" t="n">
        <v>417</v>
      </c>
      <c r="Z21" s="2" t="inlineStr">
        <is>
          <t>base_o_soporte_tres_perforaciones</t>
        </is>
      </c>
      <c r="AA21" s="2" t="n">
        <v>2377.7199</v>
      </c>
      <c r="AB21" s="2" t="n">
        <v>1.5372</v>
      </c>
      <c r="AC21" s="2" t="n">
        <v>0.5569</v>
      </c>
      <c r="AD21" s="2" t="n">
        <v>0.735</v>
      </c>
      <c r="AE21" s="2" t="n">
        <v>0.3309</v>
      </c>
      <c r="AF21" s="2" t="n">
        <v>12</v>
      </c>
      <c r="AG21" s="2" t="n">
        <v>3</v>
      </c>
    </row>
  </sheetData>
  <autoFilter ref="A1:AG2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Variable</t>
        </is>
      </c>
      <c r="B1" s="1" t="inlineStr">
        <is>
          <t>Valor</t>
        </is>
      </c>
    </row>
    <row r="2">
      <c r="A2" s="2" t="inlineStr">
        <is>
          <t>Número de imágenes procesadas</t>
        </is>
      </c>
      <c r="B2" s="2" t="n">
        <v>20</v>
      </c>
    </row>
    <row r="3">
      <c r="A3" s="2" t="inlineStr">
        <is>
          <t>Error promedio de centroide (mm)</t>
        </is>
      </c>
      <c r="B3" s="2" t="n">
        <v>0.2159</v>
      </c>
    </row>
    <row r="4">
      <c r="A4" s="2" t="inlineStr">
        <is>
          <t>Error máximo de centroide (mm)</t>
        </is>
      </c>
      <c r="B4" s="2" t="n">
        <v>0.3536</v>
      </c>
    </row>
    <row r="5">
      <c r="A5" s="2" t="inlineStr">
        <is>
          <t>Error mínimo de centroide (mm)</t>
        </is>
      </c>
      <c r="B5" s="2" t="n">
        <v>0</v>
      </c>
    </row>
    <row r="6">
      <c r="A6" s="2" t="inlineStr">
        <is>
          <t>Error promedio angular (grados)</t>
        </is>
      </c>
      <c r="B6" s="2" t="n">
        <v>45.7659</v>
      </c>
    </row>
    <row r="7">
      <c r="A7" s="2" t="inlineStr">
        <is>
          <t>Error máximo angular (grados)</t>
        </is>
      </c>
      <c r="B7" s="2" t="n">
        <v>90</v>
      </c>
    </row>
    <row r="8">
      <c r="A8" s="2" t="inlineStr">
        <is>
          <t>Error mínimo angular (grados)</t>
        </is>
      </c>
      <c r="B8" s="2" t="n">
        <v>8.703099999999999</v>
      </c>
    </row>
    <row r="9">
      <c r="A9" s="2" t="inlineStr">
        <is>
          <t>Área promedio detectada (px²)</t>
        </is>
      </c>
      <c r="B9" s="2" t="n">
        <v>125178.4</v>
      </c>
    </row>
    <row r="10">
      <c r="A10" s="2" t="inlineStr">
        <is>
          <t>Área máxima detectada (px²)</t>
        </is>
      </c>
      <c r="B10" s="2" t="n">
        <v>170608</v>
      </c>
    </row>
    <row r="11">
      <c r="A11" s="2" t="inlineStr">
        <is>
          <t>Área mínima detectada (px²)</t>
        </is>
      </c>
      <c r="B11" s="2" t="n">
        <v>67236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7" customWidth="1" min="4" max="4"/>
    <col width="16" customWidth="1" min="5" max="5"/>
    <col width="14" customWidth="1" min="6" max="6"/>
    <col width="8" customWidth="1" min="7" max="7"/>
    <col width="10" customWidth="1" min="8" max="8"/>
    <col width="13" customWidth="1" min="9" max="9"/>
    <col width="10" customWidth="1" min="10" max="10"/>
    <col width="14" customWidth="1" min="11" max="11"/>
  </cols>
  <sheetData>
    <row r="1">
      <c r="A1" s="1" t="inlineStr">
        <is>
          <t>imagen</t>
        </is>
      </c>
      <c r="B1" s="1" t="inlineStr">
        <is>
          <t>figura_cad</t>
        </is>
      </c>
      <c r="C1" s="1" t="inlineStr">
        <is>
          <t>figura_clasificada_python</t>
        </is>
      </c>
      <c r="D1" s="1" t="inlineStr">
        <is>
          <t>numero_agujeros</t>
        </is>
      </c>
      <c r="E1" s="1" t="inlineStr">
        <is>
          <t>vertices_aprox</t>
        </is>
      </c>
      <c r="F1" s="1" t="inlineStr">
        <is>
          <t>aspect_ratio</t>
        </is>
      </c>
      <c r="G1" s="1" t="inlineStr">
        <is>
          <t>extent</t>
        </is>
      </c>
      <c r="H1" s="1" t="inlineStr">
        <is>
          <t>solidity</t>
        </is>
      </c>
      <c r="I1" s="1" t="inlineStr">
        <is>
          <t>circularity</t>
        </is>
      </c>
      <c r="J1" s="1" t="inlineStr">
        <is>
          <t>area_px2</t>
        </is>
      </c>
      <c r="K1" s="1" t="inlineStr">
        <is>
          <t>perimetro_px</t>
        </is>
      </c>
    </row>
    <row r="2">
      <c r="A2" s="2" t="inlineStr">
        <is>
          <t>pieza_01.png</t>
        </is>
      </c>
      <c r="B2" s="2" t="inlineStr">
        <is>
          <t>circulo_con_agujero_central</t>
        </is>
      </c>
      <c r="C2" s="2" t="inlineStr">
        <is>
          <t>octagono_o_poligono_regular</t>
        </is>
      </c>
      <c r="D2" s="2" t="n">
        <v>1</v>
      </c>
      <c r="E2" s="2" t="n">
        <v>8</v>
      </c>
      <c r="F2" s="2" t="n">
        <v>1</v>
      </c>
      <c r="G2" s="2" t="n">
        <v>0.7352</v>
      </c>
      <c r="H2" s="2" t="n">
        <v>0.9393</v>
      </c>
      <c r="I2" s="2" t="n">
        <v>0.8443000000000001</v>
      </c>
      <c r="J2" s="2" t="n">
        <v>108972</v>
      </c>
      <c r="K2" s="2" t="n">
        <v>1273.5677</v>
      </c>
    </row>
    <row r="3">
      <c r="A3" s="2" t="inlineStr">
        <is>
          <t>pieza_02.png</t>
        </is>
      </c>
      <c r="B3" s="2" t="inlineStr">
        <is>
          <t>triangulo_mecanico</t>
        </is>
      </c>
      <c r="C3" s="2" t="inlineStr">
        <is>
          <t>triangulo</t>
        </is>
      </c>
      <c r="D3" s="2" t="n">
        <v>1</v>
      </c>
      <c r="E3" s="2" t="n">
        <v>3</v>
      </c>
      <c r="F3" s="2" t="n">
        <v>0.9719</v>
      </c>
      <c r="G3" s="2" t="n">
        <v>0.4525</v>
      </c>
      <c r="H3" s="2" t="n">
        <v>0.9549</v>
      </c>
      <c r="I3" s="2" t="n">
        <v>0.5294</v>
      </c>
      <c r="J3" s="2" t="n">
        <v>67236</v>
      </c>
      <c r="K3" s="2" t="n">
        <v>1263.2662</v>
      </c>
    </row>
    <row r="4">
      <c r="A4" s="2" t="inlineStr">
        <is>
          <t>pieza_03.png</t>
        </is>
      </c>
      <c r="B4" s="2" t="inlineStr">
        <is>
          <t>hexagono_perforado</t>
        </is>
      </c>
      <c r="C4" s="2" t="inlineStr">
        <is>
          <t>hexagono</t>
        </is>
      </c>
      <c r="D4" s="2" t="n">
        <v>1</v>
      </c>
      <c r="E4" s="2" t="n">
        <v>6</v>
      </c>
      <c r="F4" s="2" t="n">
        <v>1.0952</v>
      </c>
      <c r="G4" s="2" t="n">
        <v>0.694</v>
      </c>
      <c r="H4" s="2" t="n">
        <v>0.9605</v>
      </c>
      <c r="I4" s="2" t="n">
        <v>0.7854</v>
      </c>
      <c r="J4" s="2" t="n">
        <v>121012</v>
      </c>
      <c r="K4" s="2" t="n">
        <v>1391.5088</v>
      </c>
    </row>
    <row r="5">
      <c r="A5" s="2" t="inlineStr">
        <is>
          <t>pieza_04.png</t>
        </is>
      </c>
      <c r="B5" s="2" t="inlineStr">
        <is>
          <t>octagono_brida</t>
        </is>
      </c>
      <c r="C5" s="2" t="inlineStr">
        <is>
          <t>octagono_o_poligono_regular</t>
        </is>
      </c>
      <c r="D5" s="2" t="n">
        <v>5</v>
      </c>
      <c r="E5" s="2" t="n">
        <v>8</v>
      </c>
      <c r="F5" s="2" t="n">
        <v>1</v>
      </c>
      <c r="G5" s="2" t="n">
        <v>0.705</v>
      </c>
      <c r="H5" s="2" t="n">
        <v>0.9253</v>
      </c>
      <c r="I5" s="2" t="n">
        <v>0.8096</v>
      </c>
      <c r="J5" s="2" t="n">
        <v>151136</v>
      </c>
      <c r="K5" s="2" t="n">
        <v>1531.6753</v>
      </c>
    </row>
    <row r="6">
      <c r="A6" s="2" t="inlineStr">
        <is>
          <t>pieza_05.png</t>
        </is>
      </c>
      <c r="B6" s="2" t="inlineStr">
        <is>
          <t>engrane_12_dientes</t>
        </is>
      </c>
      <c r="C6" s="2" t="inlineStr">
        <is>
          <t>engrane_o_pieza_dentada_perforada</t>
        </is>
      </c>
      <c r="D6" s="2" t="n">
        <v>1</v>
      </c>
      <c r="E6" s="2" t="n">
        <v>24</v>
      </c>
      <c r="F6" s="2" t="n">
        <v>1</v>
      </c>
      <c r="G6" s="2" t="n">
        <v>0.5162</v>
      </c>
      <c r="H6" s="2" t="n">
        <v>0.67</v>
      </c>
      <c r="I6" s="2" t="n">
        <v>0.2682</v>
      </c>
      <c r="J6" s="2" t="n">
        <v>99486</v>
      </c>
      <c r="K6" s="2" t="n">
        <v>2159.0865</v>
      </c>
    </row>
    <row r="7">
      <c r="A7" s="2" t="inlineStr">
        <is>
          <t>pieza_06.png</t>
        </is>
      </c>
      <c r="B7" s="2" t="inlineStr">
        <is>
          <t>engrane_18_dientes</t>
        </is>
      </c>
      <c r="C7" s="2" t="inlineStr">
        <is>
          <t>hexagono</t>
        </is>
      </c>
      <c r="D7" s="2" t="n">
        <v>5</v>
      </c>
      <c r="E7" s="2" t="n">
        <v>6</v>
      </c>
      <c r="F7" s="2" t="n">
        <v>0.987</v>
      </c>
      <c r="G7" s="2" t="n">
        <v>0.4946</v>
      </c>
      <c r="H7" s="2" t="n">
        <v>0.6388</v>
      </c>
      <c r="I7" s="2" t="n">
        <v>0.1527</v>
      </c>
      <c r="J7" s="2" t="n">
        <v>103751</v>
      </c>
      <c r="K7" s="2" t="n">
        <v>2922.0125</v>
      </c>
    </row>
    <row r="8">
      <c r="A8" s="2" t="inlineStr">
        <is>
          <t>pieza_07.png</t>
        </is>
      </c>
      <c r="B8" s="2" t="inlineStr">
        <is>
          <t>estrella_dentada</t>
        </is>
      </c>
      <c r="C8" s="2" t="inlineStr">
        <is>
          <t>perfil_abierto_o_irregular</t>
        </is>
      </c>
      <c r="D8" s="2" t="n">
        <v>1</v>
      </c>
      <c r="E8" s="2" t="n">
        <v>12</v>
      </c>
      <c r="F8" s="2" t="n">
        <v>1</v>
      </c>
      <c r="G8" s="2" t="n">
        <v>0.3762</v>
      </c>
      <c r="H8" s="2" t="n">
        <v>0.5404</v>
      </c>
      <c r="I8" s="2" t="n">
        <v>0.2772</v>
      </c>
      <c r="J8" s="2" t="n">
        <v>74498</v>
      </c>
      <c r="K8" s="2" t="n">
        <v>1837.5819</v>
      </c>
    </row>
    <row r="9">
      <c r="A9" s="2" t="inlineStr">
        <is>
          <t>pieza_08.png</t>
        </is>
      </c>
      <c r="B9" s="2" t="inlineStr">
        <is>
          <t>brazo_mecanico_redondeado</t>
        </is>
      </c>
      <c r="C9" s="2" t="inlineStr">
        <is>
          <t>hexagono</t>
        </is>
      </c>
      <c r="D9" s="2" t="n">
        <v>2</v>
      </c>
      <c r="E9" s="2" t="n">
        <v>6</v>
      </c>
      <c r="F9" s="2" t="n">
        <v>0.8048999999999999</v>
      </c>
      <c r="G9" s="2" t="n">
        <v>0.4045</v>
      </c>
      <c r="H9" s="2" t="n">
        <v>0.9385</v>
      </c>
      <c r="I9" s="2" t="n">
        <v>0.5104</v>
      </c>
      <c r="J9" s="2" t="n">
        <v>121142</v>
      </c>
      <c r="K9" s="2" t="n">
        <v>1727.0277</v>
      </c>
    </row>
    <row r="10">
      <c r="A10" s="2" t="inlineStr">
        <is>
          <t>pieza_09.png</t>
        </is>
      </c>
      <c r="B10" s="2" t="inlineStr">
        <is>
          <t>placa_ranurada_larga</t>
        </is>
      </c>
      <c r="C10" s="2" t="inlineStr">
        <is>
          <t>cuadrilatero_rombo_rectangulo</t>
        </is>
      </c>
      <c r="D10" s="2" t="n">
        <v>2</v>
      </c>
      <c r="E10" s="2" t="n">
        <v>4</v>
      </c>
      <c r="F10" s="2" t="n">
        <v>1.2136</v>
      </c>
      <c r="G10" s="2" t="n">
        <v>0.3463</v>
      </c>
      <c r="H10" s="2" t="n">
        <v>0.9398</v>
      </c>
      <c r="I10" s="2" t="n">
        <v>0.4683</v>
      </c>
      <c r="J10" s="2" t="n">
        <v>99662</v>
      </c>
      <c r="K10" s="2" t="n">
        <v>1635.3363</v>
      </c>
    </row>
    <row r="11">
      <c r="A11" s="2" t="inlineStr">
        <is>
          <t>pieza_10.png</t>
        </is>
      </c>
      <c r="B11" s="2" t="inlineStr">
        <is>
          <t>soporte_L_ancho</t>
        </is>
      </c>
      <c r="C11" s="2" t="inlineStr">
        <is>
          <t>hexagono</t>
        </is>
      </c>
      <c r="D11" s="2" t="n">
        <v>2</v>
      </c>
      <c r="E11" s="2" t="n">
        <v>6</v>
      </c>
      <c r="F11" s="2" t="n">
        <v>1.3928</v>
      </c>
      <c r="G11" s="2" t="n">
        <v>0.5643</v>
      </c>
      <c r="H11" s="2" t="n">
        <v>0.8194</v>
      </c>
      <c r="I11" s="2" t="n">
        <v>0.4806</v>
      </c>
      <c r="J11" s="2" t="n">
        <v>135358</v>
      </c>
      <c r="K11" s="2" t="n">
        <v>1881.2245</v>
      </c>
    </row>
    <row r="12">
      <c r="A12" s="2" t="inlineStr">
        <is>
          <t>pieza_11.png</t>
        </is>
      </c>
      <c r="B12" s="2" t="inlineStr">
        <is>
          <t>perfil_U_abierto</t>
        </is>
      </c>
      <c r="C12" s="2" t="inlineStr">
        <is>
          <t>octagono_o_poligono_regular</t>
        </is>
      </c>
      <c r="D12" s="2" t="n">
        <v>1</v>
      </c>
      <c r="E12" s="2" t="n">
        <v>8</v>
      </c>
      <c r="F12" s="2" t="n">
        <v>1.129</v>
      </c>
      <c r="G12" s="2" t="n">
        <v>0.332</v>
      </c>
      <c r="H12" s="2" t="n">
        <v>0.6701</v>
      </c>
      <c r="I12" s="2" t="n">
        <v>0.1994</v>
      </c>
      <c r="J12" s="2" t="n">
        <v>130058</v>
      </c>
      <c r="K12" s="2" t="n">
        <v>2862.8695</v>
      </c>
    </row>
    <row r="13">
      <c r="A13" s="2" t="inlineStr">
        <is>
          <t>pieza_12.png</t>
        </is>
      </c>
      <c r="B13" s="2" t="inlineStr">
        <is>
          <t>placa_cruz</t>
        </is>
      </c>
      <c r="C13" s="2" t="inlineStr">
        <is>
          <t>pieza_una_perforacion</t>
        </is>
      </c>
      <c r="D13" s="2" t="n">
        <v>1</v>
      </c>
      <c r="E13" s="2" t="n">
        <v>12</v>
      </c>
      <c r="F13" s="2" t="n">
        <v>1</v>
      </c>
      <c r="G13" s="2" t="n">
        <v>0.6055</v>
      </c>
      <c r="H13" s="2" t="n">
        <v>0.7393999999999999</v>
      </c>
      <c r="I13" s="2" t="n">
        <v>0.4505</v>
      </c>
      <c r="J13" s="2" t="n">
        <v>159338</v>
      </c>
      <c r="K13" s="2" t="n">
        <v>2108.301</v>
      </c>
    </row>
    <row r="14">
      <c r="A14" s="2" t="inlineStr">
        <is>
          <t>pieza_13.png</t>
        </is>
      </c>
      <c r="B14" s="2" t="inlineStr">
        <is>
          <t>base_irregular_tres_perforaciones</t>
        </is>
      </c>
      <c r="C14" s="2" t="inlineStr">
        <is>
          <t>base_o_soporte_tres_perforaciones</t>
        </is>
      </c>
      <c r="D14" s="2" t="n">
        <v>3</v>
      </c>
      <c r="E14" s="2" t="n">
        <v>12</v>
      </c>
      <c r="F14" s="2" t="n">
        <v>0.7409</v>
      </c>
      <c r="G14" s="2" t="n">
        <v>0.5853</v>
      </c>
      <c r="H14" s="2" t="n">
        <v>0.839</v>
      </c>
      <c r="I14" s="2" t="n">
        <v>0.5624</v>
      </c>
      <c r="J14" s="2" t="n">
        <v>157155</v>
      </c>
      <c r="K14" s="2" t="n">
        <v>1873.8906</v>
      </c>
    </row>
    <row r="15">
      <c r="A15" s="2" t="inlineStr">
        <is>
          <t>pieza_14.png</t>
        </is>
      </c>
      <c r="B15" s="2" t="inlineStr">
        <is>
          <t>placa_trapezoidal</t>
        </is>
      </c>
      <c r="C15" s="2" t="inlineStr">
        <is>
          <t>cuadrilatero_rombo_rectangulo</t>
        </is>
      </c>
      <c r="D15" s="2" t="n">
        <v>2</v>
      </c>
      <c r="E15" s="2" t="n">
        <v>4</v>
      </c>
      <c r="F15" s="2" t="n">
        <v>0.6574</v>
      </c>
      <c r="G15" s="2" t="n">
        <v>0.6754</v>
      </c>
      <c r="H15" s="2" t="n">
        <v>0.9637</v>
      </c>
      <c r="I15" s="2" t="n">
        <v>0.5967</v>
      </c>
      <c r="J15" s="2" t="n">
        <v>129470</v>
      </c>
      <c r="K15" s="2" t="n">
        <v>1651.2691</v>
      </c>
    </row>
    <row r="16">
      <c r="A16" s="2" t="inlineStr">
        <is>
          <t>pieza_15.png</t>
        </is>
      </c>
      <c r="B16" s="2" t="inlineStr">
        <is>
          <t>perfil_muescado</t>
        </is>
      </c>
      <c r="C16" s="2" t="inlineStr">
        <is>
          <t>pieza_dos_perforaciones</t>
        </is>
      </c>
      <c r="D16" s="2" t="n">
        <v>2</v>
      </c>
      <c r="E16" s="2" t="n">
        <v>12</v>
      </c>
      <c r="F16" s="2" t="n">
        <v>0.5206</v>
      </c>
      <c r="G16" s="2" t="n">
        <v>0.5835</v>
      </c>
      <c r="H16" s="2" t="n">
        <v>0.8128</v>
      </c>
      <c r="I16" s="2" t="n">
        <v>0.3359</v>
      </c>
      <c r="J16" s="2" t="n">
        <v>130330</v>
      </c>
      <c r="K16" s="2" t="n">
        <v>2208.2641</v>
      </c>
    </row>
    <row r="17">
      <c r="A17" s="2" t="inlineStr">
        <is>
          <t>pieza_16.png</t>
        </is>
      </c>
      <c r="B17" s="2" t="inlineStr">
        <is>
          <t>rombo_perforado</t>
        </is>
      </c>
      <c r="C17" s="2" t="inlineStr">
        <is>
          <t>cuadrilatero_rombo_rectangulo</t>
        </is>
      </c>
      <c r="D17" s="2" t="n">
        <v>3</v>
      </c>
      <c r="E17" s="2" t="n">
        <v>4</v>
      </c>
      <c r="F17" s="2" t="n">
        <v>1</v>
      </c>
      <c r="G17" s="2" t="n">
        <v>0.5315</v>
      </c>
      <c r="H17" s="2" t="n">
        <v>0.9305</v>
      </c>
      <c r="I17" s="2" t="n">
        <v>0.6334</v>
      </c>
      <c r="J17" s="2" t="n">
        <v>100578</v>
      </c>
      <c r="K17" s="2" t="n">
        <v>1412.6459</v>
      </c>
    </row>
    <row r="18">
      <c r="A18" s="2" t="inlineStr">
        <is>
          <t>pieza_17.png</t>
        </is>
      </c>
      <c r="B18" s="2" t="inlineStr">
        <is>
          <t>pentagono_mecanico</t>
        </is>
      </c>
      <c r="C18" s="2" t="inlineStr">
        <is>
          <t>pentagono</t>
        </is>
      </c>
      <c r="D18" s="2" t="n">
        <v>1</v>
      </c>
      <c r="E18" s="2" t="n">
        <v>5</v>
      </c>
      <c r="F18" s="2" t="n">
        <v>0.9727</v>
      </c>
      <c r="G18" s="2" t="n">
        <v>0.661</v>
      </c>
      <c r="H18" s="2" t="n">
        <v>0.9689</v>
      </c>
      <c r="I18" s="2" t="n">
        <v>0.7565</v>
      </c>
      <c r="J18" s="2" t="n">
        <v>124474</v>
      </c>
      <c r="K18" s="2" t="n">
        <v>1437.9352</v>
      </c>
    </row>
    <row r="19">
      <c r="A19" s="2" t="inlineStr">
        <is>
          <t>pieza_18.png</t>
        </is>
      </c>
      <c r="B19" s="2" t="inlineStr">
        <is>
          <t>media_luna_tecnica</t>
        </is>
      </c>
      <c r="C19" s="2" t="inlineStr">
        <is>
          <t>octagono_o_poligono_regular</t>
        </is>
      </c>
      <c r="D19" s="2" t="n">
        <v>2</v>
      </c>
      <c r="E19" s="2" t="n">
        <v>8</v>
      </c>
      <c r="F19" s="2" t="n">
        <v>1.0219</v>
      </c>
      <c r="G19" s="2" t="n">
        <v>0.6599</v>
      </c>
      <c r="H19" s="2" t="n">
        <v>0.9467</v>
      </c>
      <c r="I19" s="2" t="n">
        <v>0.7955</v>
      </c>
      <c r="J19" s="2" t="n">
        <v>170608</v>
      </c>
      <c r="K19" s="2" t="n">
        <v>1641.6236</v>
      </c>
    </row>
    <row r="20">
      <c r="A20" s="2" t="inlineStr">
        <is>
          <t>pieza_19.png</t>
        </is>
      </c>
      <c r="B20" s="2" t="inlineStr">
        <is>
          <t>brida_rectangular_4_perforaciones</t>
        </is>
      </c>
      <c r="C20" s="2" t="inlineStr">
        <is>
          <t>cuadrilatero_rombo_rectangulo</t>
        </is>
      </c>
      <c r="D20" s="2" t="n">
        <v>5</v>
      </c>
      <c r="E20" s="2" t="n">
        <v>4</v>
      </c>
      <c r="F20" s="2" t="n">
        <v>1.2475</v>
      </c>
      <c r="G20" s="2" t="n">
        <v>0.5443</v>
      </c>
      <c r="H20" s="2" t="n">
        <v>0.9281</v>
      </c>
      <c r="I20" s="2" t="n">
        <v>0.5947</v>
      </c>
      <c r="J20" s="2" t="n">
        <v>170437</v>
      </c>
      <c r="K20" s="2" t="n">
        <v>1897.6997</v>
      </c>
    </row>
    <row r="21">
      <c r="A21" s="2" t="inlineStr">
        <is>
          <t>pieza_20.png</t>
        </is>
      </c>
      <c r="B21" s="2" t="inlineStr">
        <is>
          <t>soporte_compuesto_irregular</t>
        </is>
      </c>
      <c r="C21" s="2" t="inlineStr">
        <is>
          <t>base_o_soporte_tres_perforaciones</t>
        </is>
      </c>
      <c r="D21" s="2" t="n">
        <v>3</v>
      </c>
      <c r="E21" s="2" t="n">
        <v>12</v>
      </c>
      <c r="F21" s="2" t="n">
        <v>1.5372</v>
      </c>
      <c r="G21" s="2" t="n">
        <v>0.5569</v>
      </c>
      <c r="H21" s="2" t="n">
        <v>0.735</v>
      </c>
      <c r="I21" s="2" t="n">
        <v>0.3309</v>
      </c>
      <c r="J21" s="2" t="n">
        <v>148867</v>
      </c>
      <c r="K21" s="2" t="n">
        <v>2377.7199</v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</cols>
  <sheetData>
    <row r="1">
      <c r="A1" s="1" t="inlineStr">
        <is>
          <t>Tipo</t>
        </is>
      </c>
      <c r="B1" s="1" t="inlineStr">
        <is>
          <t>Categoría</t>
        </is>
      </c>
      <c r="C1" s="1" t="inlineStr">
        <is>
          <t>Cantidad</t>
        </is>
      </c>
    </row>
    <row r="2">
      <c r="A2" s="2" t="inlineStr">
        <is>
          <t>CAD</t>
        </is>
      </c>
      <c r="B2" s="2" t="inlineStr">
        <is>
          <t>circulo_con_agujero_central</t>
        </is>
      </c>
      <c r="C2" s="2" t="n">
        <v>1</v>
      </c>
    </row>
    <row r="3">
      <c r="A3" s="2" t="inlineStr">
        <is>
          <t>CAD</t>
        </is>
      </c>
      <c r="B3" s="2" t="inlineStr">
        <is>
          <t>triangulo_mecanico</t>
        </is>
      </c>
      <c r="C3" s="2" t="n">
        <v>1</v>
      </c>
    </row>
    <row r="4">
      <c r="A4" s="2" t="inlineStr">
        <is>
          <t>CAD</t>
        </is>
      </c>
      <c r="B4" s="2" t="inlineStr">
        <is>
          <t>hexagono_perforado</t>
        </is>
      </c>
      <c r="C4" s="2" t="n">
        <v>1</v>
      </c>
    </row>
    <row r="5">
      <c r="A5" s="2" t="inlineStr">
        <is>
          <t>CAD</t>
        </is>
      </c>
      <c r="B5" s="2" t="inlineStr">
        <is>
          <t>octagono_brida</t>
        </is>
      </c>
      <c r="C5" s="2" t="n">
        <v>1</v>
      </c>
    </row>
    <row r="6">
      <c r="A6" s="2" t="inlineStr">
        <is>
          <t>CAD</t>
        </is>
      </c>
      <c r="B6" s="2" t="inlineStr">
        <is>
          <t>engrane_12_dientes</t>
        </is>
      </c>
      <c r="C6" s="2" t="n">
        <v>1</v>
      </c>
    </row>
    <row r="7">
      <c r="A7" s="2" t="inlineStr">
        <is>
          <t>CAD</t>
        </is>
      </c>
      <c r="B7" s="2" t="inlineStr">
        <is>
          <t>engrane_18_dientes</t>
        </is>
      </c>
      <c r="C7" s="2" t="n">
        <v>1</v>
      </c>
    </row>
    <row r="8">
      <c r="A8" s="2" t="inlineStr">
        <is>
          <t>CAD</t>
        </is>
      </c>
      <c r="B8" s="2" t="inlineStr">
        <is>
          <t>estrella_dentada</t>
        </is>
      </c>
      <c r="C8" s="2" t="n">
        <v>1</v>
      </c>
    </row>
    <row r="9">
      <c r="A9" s="2" t="inlineStr">
        <is>
          <t>CAD</t>
        </is>
      </c>
      <c r="B9" s="2" t="inlineStr">
        <is>
          <t>brazo_mecanico_redondeado</t>
        </is>
      </c>
      <c r="C9" s="2" t="n">
        <v>1</v>
      </c>
    </row>
    <row r="10">
      <c r="A10" s="2" t="inlineStr">
        <is>
          <t>CAD</t>
        </is>
      </c>
      <c r="B10" s="2" t="inlineStr">
        <is>
          <t>placa_ranurada_larga</t>
        </is>
      </c>
      <c r="C10" s="2" t="n">
        <v>1</v>
      </c>
    </row>
    <row r="11">
      <c r="A11" s="2" t="inlineStr">
        <is>
          <t>CAD</t>
        </is>
      </c>
      <c r="B11" s="2" t="inlineStr">
        <is>
          <t>soporte_L_ancho</t>
        </is>
      </c>
      <c r="C11" s="2" t="n">
        <v>1</v>
      </c>
    </row>
    <row r="12">
      <c r="A12" s="2" t="inlineStr">
        <is>
          <t>CAD</t>
        </is>
      </c>
      <c r="B12" s="2" t="inlineStr">
        <is>
          <t>perfil_U_abierto</t>
        </is>
      </c>
      <c r="C12" s="2" t="n">
        <v>1</v>
      </c>
    </row>
    <row r="13">
      <c r="A13" s="2" t="inlineStr">
        <is>
          <t>CAD</t>
        </is>
      </c>
      <c r="B13" s="2" t="inlineStr">
        <is>
          <t>placa_cruz</t>
        </is>
      </c>
      <c r="C13" s="2" t="n">
        <v>1</v>
      </c>
    </row>
    <row r="14">
      <c r="A14" s="2" t="inlineStr">
        <is>
          <t>CAD</t>
        </is>
      </c>
      <c r="B14" s="2" t="inlineStr">
        <is>
          <t>base_irregular_tres_perforaciones</t>
        </is>
      </c>
      <c r="C14" s="2" t="n">
        <v>1</v>
      </c>
    </row>
    <row r="15">
      <c r="A15" s="2" t="inlineStr">
        <is>
          <t>CAD</t>
        </is>
      </c>
      <c r="B15" s="2" t="inlineStr">
        <is>
          <t>placa_trapezoidal</t>
        </is>
      </c>
      <c r="C15" s="2" t="n">
        <v>1</v>
      </c>
    </row>
    <row r="16">
      <c r="A16" s="2" t="inlineStr">
        <is>
          <t>CAD</t>
        </is>
      </c>
      <c r="B16" s="2" t="inlineStr">
        <is>
          <t>perfil_muescado</t>
        </is>
      </c>
      <c r="C16" s="2" t="n">
        <v>1</v>
      </c>
    </row>
    <row r="17">
      <c r="A17" s="2" t="inlineStr">
        <is>
          <t>CAD</t>
        </is>
      </c>
      <c r="B17" s="2" t="inlineStr">
        <is>
          <t>rombo_perforado</t>
        </is>
      </c>
      <c r="C17" s="2" t="n">
        <v>1</v>
      </c>
    </row>
    <row r="18">
      <c r="A18" s="2" t="inlineStr">
        <is>
          <t>CAD</t>
        </is>
      </c>
      <c r="B18" s="2" t="inlineStr">
        <is>
          <t>pentagono_mecanico</t>
        </is>
      </c>
      <c r="C18" s="2" t="n">
        <v>1</v>
      </c>
    </row>
    <row r="19">
      <c r="A19" s="2" t="inlineStr">
        <is>
          <t>CAD</t>
        </is>
      </c>
      <c r="B19" s="2" t="inlineStr">
        <is>
          <t>media_luna_tecnica</t>
        </is>
      </c>
      <c r="C19" s="2" t="n">
        <v>1</v>
      </c>
    </row>
    <row r="20">
      <c r="A20" s="2" t="inlineStr">
        <is>
          <t>CAD</t>
        </is>
      </c>
      <c r="B20" s="2" t="inlineStr">
        <is>
          <t>brida_rectangular_4_perforaciones</t>
        </is>
      </c>
      <c r="C20" s="2" t="n">
        <v>1</v>
      </c>
    </row>
    <row r="21">
      <c r="A21" s="2" t="inlineStr">
        <is>
          <t>CAD</t>
        </is>
      </c>
      <c r="B21" s="2" t="inlineStr">
        <is>
          <t>soporte_compuesto_irregular</t>
        </is>
      </c>
      <c r="C21" s="2" t="n">
        <v>1</v>
      </c>
    </row>
    <row r="22">
      <c r="A22" s="2" t="inlineStr">
        <is>
          <t>Python</t>
        </is>
      </c>
      <c r="B22" s="2" t="inlineStr">
        <is>
          <t>octagono_o_poligono_regular</t>
        </is>
      </c>
      <c r="C22" s="2" t="n">
        <v>4</v>
      </c>
    </row>
    <row r="23">
      <c r="A23" s="2" t="inlineStr">
        <is>
          <t>Python</t>
        </is>
      </c>
      <c r="B23" s="2" t="inlineStr">
        <is>
          <t>triangulo</t>
        </is>
      </c>
      <c r="C23" s="2" t="n">
        <v>1</v>
      </c>
    </row>
    <row r="24">
      <c r="A24" s="2" t="inlineStr">
        <is>
          <t>Python</t>
        </is>
      </c>
      <c r="B24" s="2" t="inlineStr">
        <is>
          <t>hexagono</t>
        </is>
      </c>
      <c r="C24" s="2" t="n">
        <v>4</v>
      </c>
    </row>
    <row r="25">
      <c r="A25" s="2" t="inlineStr">
        <is>
          <t>Python</t>
        </is>
      </c>
      <c r="B25" s="2" t="inlineStr">
        <is>
          <t>engrane_o_pieza_dentada_perforada</t>
        </is>
      </c>
      <c r="C25" s="2" t="n">
        <v>1</v>
      </c>
    </row>
    <row r="26">
      <c r="A26" s="2" t="inlineStr">
        <is>
          <t>Python</t>
        </is>
      </c>
      <c r="B26" s="2" t="inlineStr">
        <is>
          <t>perfil_abierto_o_irregular</t>
        </is>
      </c>
      <c r="C26" s="2" t="n">
        <v>1</v>
      </c>
    </row>
    <row r="27">
      <c r="A27" s="2" t="inlineStr">
        <is>
          <t>Python</t>
        </is>
      </c>
      <c r="B27" s="2" t="inlineStr">
        <is>
          <t>cuadrilatero_rombo_rectangulo</t>
        </is>
      </c>
      <c r="C27" s="2" t="n">
        <v>4</v>
      </c>
    </row>
    <row r="28">
      <c r="A28" s="2" t="inlineStr">
        <is>
          <t>Python</t>
        </is>
      </c>
      <c r="B28" s="2" t="inlineStr">
        <is>
          <t>pieza_una_perforacion</t>
        </is>
      </c>
      <c r="C28" s="2" t="n">
        <v>1</v>
      </c>
    </row>
    <row r="29">
      <c r="A29" s="2" t="inlineStr">
        <is>
          <t>Python</t>
        </is>
      </c>
      <c r="B29" s="2" t="inlineStr">
        <is>
          <t>base_o_soporte_tres_perforaciones</t>
        </is>
      </c>
      <c r="C29" s="2" t="n">
        <v>2</v>
      </c>
    </row>
    <row r="30">
      <c r="A30" s="2" t="inlineStr">
        <is>
          <t>Python</t>
        </is>
      </c>
      <c r="B30" s="2" t="inlineStr">
        <is>
          <t>pieza_dos_perforaciones</t>
        </is>
      </c>
      <c r="C30" s="2" t="n">
        <v>1</v>
      </c>
    </row>
    <row r="31">
      <c r="A31" s="2" t="inlineStr">
        <is>
          <t>Python</t>
        </is>
      </c>
      <c r="B31" s="2" t="inlineStr">
        <is>
          <t>pentagono</t>
        </is>
      </c>
      <c r="C31" s="2" t="n">
        <v>1</v>
      </c>
    </row>
  </sheetData>
  <autoFilter ref="A1:C3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32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Descripción</t>
        </is>
      </c>
    </row>
    <row r="2">
      <c r="A2" s="2" t="inlineStr">
        <is>
          <t>Ancho de imagen</t>
        </is>
      </c>
      <c r="B2" s="2" t="inlineStr">
        <is>
          <t>1280 px</t>
        </is>
      </c>
      <c r="C2" s="2" t="inlineStr">
        <is>
          <t>Resolución horizontal de las imágenes sintéticas</t>
        </is>
      </c>
    </row>
    <row r="3">
      <c r="A3" s="2" t="inlineStr">
        <is>
          <t>Alto de imagen</t>
        </is>
      </c>
      <c r="B3" s="2" t="inlineStr">
        <is>
          <t>720 px</t>
        </is>
      </c>
      <c r="C3" s="2" t="inlineStr">
        <is>
          <t>Resolución vertical de las imágenes sintéticas</t>
        </is>
      </c>
    </row>
    <row r="4">
      <c r="A4" s="2" t="inlineStr">
        <is>
          <t>Ancho de mesa</t>
        </is>
      </c>
      <c r="B4" s="2" t="inlineStr">
        <is>
          <t>320 mm</t>
        </is>
      </c>
      <c r="C4" s="2" t="inlineStr">
        <is>
          <t>Dimensión usada para convertir píxeles a milímetros</t>
        </is>
      </c>
    </row>
    <row r="5">
      <c r="A5" s="2" t="inlineStr">
        <is>
          <t>Alto de mesa</t>
        </is>
      </c>
      <c r="B5" s="2" t="inlineStr">
        <is>
          <t>180 mm</t>
        </is>
      </c>
      <c r="C5" s="2" t="inlineStr">
        <is>
          <t>Dimensión usada para convertir píxeles a milímetros</t>
        </is>
      </c>
    </row>
    <row r="6">
      <c r="A6" s="2" t="inlineStr">
        <is>
          <t>Referencia CAD</t>
        </is>
      </c>
      <c r="B6" s="2" t="inlineStr">
        <is>
          <t>FreeCAD</t>
        </is>
      </c>
      <c r="C6" s="2" t="inlineStr">
        <is>
          <t>Centroide e inclinación obtenidos desde modelos CAD</t>
        </is>
      </c>
    </row>
    <row r="7">
      <c r="A7" s="2" t="inlineStr">
        <is>
          <t>Método de segmentación</t>
        </is>
      </c>
      <c r="B7" s="2" t="inlineStr">
        <is>
          <t>Binarización</t>
        </is>
      </c>
      <c r="C7" s="2" t="inlineStr">
        <is>
          <t>Separación de pieza oscura contra fondo blanco</t>
        </is>
      </c>
    </row>
    <row r="8">
      <c r="A8" s="2" t="inlineStr">
        <is>
          <t>Método de bordes</t>
        </is>
      </c>
      <c r="B8" s="2" t="inlineStr">
        <is>
          <t>Canny</t>
        </is>
      </c>
      <c r="C8" s="2" t="inlineStr">
        <is>
          <t>Usado para visualización de contornos</t>
        </is>
      </c>
    </row>
    <row r="9">
      <c r="A9" s="2" t="inlineStr">
        <is>
          <t>Método de centroide</t>
        </is>
      </c>
      <c r="B9" s="2" t="inlineStr">
        <is>
          <t>Momentos de imagen</t>
        </is>
      </c>
      <c r="C9" s="2" t="inlineStr">
        <is>
          <t>Centroide calculado desde máscara binaria</t>
        </is>
      </c>
    </row>
    <row r="10">
      <c r="A10" s="2" t="inlineStr">
        <is>
          <t>Método de orientación</t>
        </is>
      </c>
      <c r="B10" s="2" t="inlineStr">
        <is>
          <t>Momentos centrales</t>
        </is>
      </c>
      <c r="C10" s="2" t="inlineStr">
        <is>
          <t>Eje principal estimado por distribución de masa</t>
        </is>
      </c>
    </row>
    <row r="11">
      <c r="A11" s="2" t="inlineStr">
        <is>
          <t>Discriminación geométrica</t>
        </is>
      </c>
      <c r="B11" s="2" t="inlineStr">
        <is>
          <t>Reglas por propiedades</t>
        </is>
      </c>
      <c r="C11" s="2" t="inlineStr">
        <is>
          <t>Uso de área, perímetro, agujeros, vértices, solidez y circularidad</t>
        </is>
      </c>
    </row>
    <row r="12">
      <c r="A12" s="2" t="inlineStr">
        <is>
          <t>Transformación al robot</t>
        </is>
      </c>
      <c r="B12" s="2" t="inlineStr">
        <is>
          <t>Matriz homogénea</t>
        </is>
      </c>
      <c r="C12" s="2" t="inlineStr">
        <is>
          <t>Conversión de coordenadas locales de mesa al sistema del robot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2026-05-04T04:27:47Z</dcterms:created>
  <dcterms:modified xsi:type="dcterms:W3CDTF">2026-05-04T04:27:47Z</dcterms:modified>
</cp:coreProperties>
</file>